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lva\Documents\1 - Flood Risk Management\Semester 3 - UPC\4 - Fluvial Morphodynamics\Assignment\"/>
    </mc:Choice>
  </mc:AlternateContent>
  <xr:revisionPtr revIDLastSave="0" documentId="13_ncr:1_{7AD46600-FADF-406C-9E37-C7627C42823B}" xr6:coauthVersionLast="45" xr6:coauthVersionMax="45" xr10:uidLastSave="{00000000-0000-0000-0000-000000000000}"/>
  <bookViews>
    <workbookView xWindow="-120" yWindow="-120" windowWidth="29040" windowHeight="15840" xr2:uid="{DF361742-9AB4-4448-9C64-868F0E35BD59}"/>
  </bookViews>
  <sheets>
    <sheet name="Grid-BC" sheetId="14" r:id="rId1"/>
    <sheet name="US" sheetId="15" r:id="rId2"/>
    <sheet name="DS" sheetId="28" r:id="rId3"/>
    <sheet name="Solution" sheetId="17" r:id="rId4"/>
    <sheet name="z" sheetId="18" r:id="rId5"/>
    <sheet name="u" sheetId="19" r:id="rId6"/>
    <sheet name="Sf" sheetId="20" r:id="rId7"/>
    <sheet name="n" sheetId="29" r:id="rId8"/>
    <sheet name="z+h" sheetId="21" r:id="rId9"/>
    <sheet name="Shields" sheetId="26" r:id="rId10"/>
    <sheet name="qt" sheetId="22" r:id="rId11"/>
    <sheet name="T0" sheetId="23" r:id="rId12"/>
    <sheet name="M" sheetId="24" r:id="rId13"/>
    <sheet name="Fr" sheetId="25" r:id="rId14"/>
  </sheets>
  <functionGroups builtInGroupCount="19"/>
  <definedNames>
    <definedName name="solver_adj" localSheetId="2" hidden="1">DS!$H$3</definedName>
    <definedName name="solver_adj" localSheetId="0" hidden="1">'Grid-BC'!$D$107</definedName>
    <definedName name="solver_adj" localSheetId="3" hidden="1">Solution!$AQ$46</definedName>
    <definedName name="solver_adj" localSheetId="1" hidden="1">US!$H$46</definedName>
    <definedName name="solver_cvg" localSheetId="2" hidden="1">0.0001</definedName>
    <definedName name="solver_cvg" localSheetId="0" hidden="1">0.0001</definedName>
    <definedName name="solver_cvg" localSheetId="3" hidden="1">0.0001</definedName>
    <definedName name="solver_cvg" localSheetId="1" hidden="1">0.0001</definedName>
    <definedName name="solver_drv" localSheetId="2" hidden="1">1</definedName>
    <definedName name="solver_drv" localSheetId="0" hidden="1">1</definedName>
    <definedName name="solver_drv" localSheetId="3" hidden="1">1</definedName>
    <definedName name="solver_drv" localSheetId="1" hidden="1">1</definedName>
    <definedName name="solver_eng" localSheetId="2" hidden="1">1</definedName>
    <definedName name="solver_eng" localSheetId="0" hidden="1">1</definedName>
    <definedName name="solver_eng" localSheetId="3" hidden="1">1</definedName>
    <definedName name="solver_eng" localSheetId="1" hidden="1">1</definedName>
    <definedName name="solver_est" localSheetId="2" hidden="1">1</definedName>
    <definedName name="solver_est" localSheetId="0" hidden="1">1</definedName>
    <definedName name="solver_est" localSheetId="3" hidden="1">1</definedName>
    <definedName name="solver_est" localSheetId="1" hidden="1">1</definedName>
    <definedName name="solver_itr" localSheetId="2" hidden="1">2147483647</definedName>
    <definedName name="solver_itr" localSheetId="0" hidden="1">2147483647</definedName>
    <definedName name="solver_itr" localSheetId="3" hidden="1">2147483647</definedName>
    <definedName name="solver_itr" localSheetId="1" hidden="1">2147483647</definedName>
    <definedName name="solver_lhs1" localSheetId="2" hidden="1">DS!$H$3</definedName>
    <definedName name="solver_lhs1" localSheetId="3" hidden="1">Solution!$AQ$46</definedName>
    <definedName name="solver_lhs1" localSheetId="1" hidden="1">US!$H$46</definedName>
    <definedName name="solver_lhs2" localSheetId="2" hidden="1">DS!$R$32</definedName>
    <definedName name="solver_lhs2" localSheetId="3" hidden="1">Solution!$AB$32</definedName>
    <definedName name="solver_lhs2" localSheetId="1" hidden="1">US!$R$46</definedName>
    <definedName name="solver_mip" localSheetId="2" hidden="1">2147483647</definedName>
    <definedName name="solver_mip" localSheetId="0" hidden="1">2147483647</definedName>
    <definedName name="solver_mip" localSheetId="3" hidden="1">2147483647</definedName>
    <definedName name="solver_mip" localSheetId="1" hidden="1">2147483647</definedName>
    <definedName name="solver_mni" localSheetId="2" hidden="1">30</definedName>
    <definedName name="solver_mni" localSheetId="0" hidden="1">30</definedName>
    <definedName name="solver_mni" localSheetId="3" hidden="1">30</definedName>
    <definedName name="solver_mni" localSheetId="1" hidden="1">30</definedName>
    <definedName name="solver_mrt" localSheetId="2" hidden="1">0.075</definedName>
    <definedName name="solver_mrt" localSheetId="0" hidden="1">0.075</definedName>
    <definedName name="solver_mrt" localSheetId="3" hidden="1">0.075</definedName>
    <definedName name="solver_mrt" localSheetId="1" hidden="1">0.075</definedName>
    <definedName name="solver_msl" localSheetId="2" hidden="1">2</definedName>
    <definedName name="solver_msl" localSheetId="0" hidden="1">2</definedName>
    <definedName name="solver_msl" localSheetId="3" hidden="1">2</definedName>
    <definedName name="solver_msl" localSheetId="1" hidden="1">2</definedName>
    <definedName name="solver_neg" localSheetId="2" hidden="1">1</definedName>
    <definedName name="solver_neg" localSheetId="0" hidden="1">1</definedName>
    <definedName name="solver_neg" localSheetId="3" hidden="1">1</definedName>
    <definedName name="solver_neg" localSheetId="1" hidden="1">1</definedName>
    <definedName name="solver_nod" localSheetId="2" hidden="1">2147483647</definedName>
    <definedName name="solver_nod" localSheetId="0" hidden="1">2147483647</definedName>
    <definedName name="solver_nod" localSheetId="3" hidden="1">2147483647</definedName>
    <definedName name="solver_nod" localSheetId="1" hidden="1">2147483647</definedName>
    <definedName name="solver_num" localSheetId="2" hidden="1">1</definedName>
    <definedName name="solver_num" localSheetId="0" hidden="1">0</definedName>
    <definedName name="solver_num" localSheetId="3" hidden="1">1</definedName>
    <definedName name="solver_num" localSheetId="1" hidden="1">2</definedName>
    <definedName name="solver_nwt" localSheetId="2" hidden="1">1</definedName>
    <definedName name="solver_nwt" localSheetId="0" hidden="1">1</definedName>
    <definedName name="solver_nwt" localSheetId="3" hidden="1">1</definedName>
    <definedName name="solver_nwt" localSheetId="1" hidden="1">1</definedName>
    <definedName name="solver_opt" localSheetId="2" hidden="1">DS!$U$3</definedName>
    <definedName name="solver_opt" localSheetId="0" hidden="1">'Grid-BC'!$S$106</definedName>
    <definedName name="solver_opt" localSheetId="3" hidden="1">Solution!$AS$46</definedName>
    <definedName name="solver_opt" localSheetId="1" hidden="1">US!$U$45</definedName>
    <definedName name="solver_pre" localSheetId="2" hidden="1">0.000001</definedName>
    <definedName name="solver_pre" localSheetId="0" hidden="1">0.000001</definedName>
    <definedName name="solver_pre" localSheetId="3" hidden="1">0.000001</definedName>
    <definedName name="solver_pre" localSheetId="1" hidden="1">0.000001</definedName>
    <definedName name="solver_rbv" localSheetId="2" hidden="1">1</definedName>
    <definedName name="solver_rbv" localSheetId="0" hidden="1">1</definedName>
    <definedName name="solver_rbv" localSheetId="3" hidden="1">1</definedName>
    <definedName name="solver_rbv" localSheetId="1" hidden="1">1</definedName>
    <definedName name="solver_rel1" localSheetId="2" hidden="1">3</definedName>
    <definedName name="solver_rel1" localSheetId="3" hidden="1">3</definedName>
    <definedName name="solver_rel1" localSheetId="1" hidden="1">3</definedName>
    <definedName name="solver_rel2" localSheetId="2" hidden="1">3</definedName>
    <definedName name="solver_rel2" localSheetId="3" hidden="1">3</definedName>
    <definedName name="solver_rel2" localSheetId="1" hidden="1">3</definedName>
    <definedName name="solver_rhs1" localSheetId="2" hidden="1">0.01</definedName>
    <definedName name="solver_rhs1" localSheetId="3" hidden="1">0.01</definedName>
    <definedName name="solver_rhs1" localSheetId="1" hidden="1">0.01</definedName>
    <definedName name="solver_rhs2" localSheetId="2" hidden="1">1</definedName>
    <definedName name="solver_rhs2" localSheetId="3" hidden="1">1</definedName>
    <definedName name="solver_rhs2" localSheetId="1" hidden="1">1</definedName>
    <definedName name="solver_rlx" localSheetId="2" hidden="1">2</definedName>
    <definedName name="solver_rlx" localSheetId="0" hidden="1">2</definedName>
    <definedName name="solver_rlx" localSheetId="3" hidden="1">2</definedName>
    <definedName name="solver_rlx" localSheetId="1" hidden="1">2</definedName>
    <definedName name="solver_rsd" localSheetId="2" hidden="1">0</definedName>
    <definedName name="solver_rsd" localSheetId="0" hidden="1">0</definedName>
    <definedName name="solver_rsd" localSheetId="3" hidden="1">0</definedName>
    <definedName name="solver_rsd" localSheetId="1" hidden="1">0</definedName>
    <definedName name="solver_scl" localSheetId="2" hidden="1">1</definedName>
    <definedName name="solver_scl" localSheetId="0" hidden="1">1</definedName>
    <definedName name="solver_scl" localSheetId="3" hidden="1">1</definedName>
    <definedName name="solver_scl" localSheetId="1" hidden="1">1</definedName>
    <definedName name="solver_sho" localSheetId="2" hidden="1">2</definedName>
    <definedName name="solver_sho" localSheetId="0" hidden="1">2</definedName>
    <definedName name="solver_sho" localSheetId="3" hidden="1">2</definedName>
    <definedName name="solver_sho" localSheetId="1" hidden="1">2</definedName>
    <definedName name="solver_ssz" localSheetId="2" hidden="1">100</definedName>
    <definedName name="solver_ssz" localSheetId="0" hidden="1">100</definedName>
    <definedName name="solver_ssz" localSheetId="3" hidden="1">100</definedName>
    <definedName name="solver_ssz" localSheetId="1" hidden="1">100</definedName>
    <definedName name="solver_tim" localSheetId="2" hidden="1">2147483647</definedName>
    <definedName name="solver_tim" localSheetId="0" hidden="1">2147483647</definedName>
    <definedName name="solver_tim" localSheetId="3" hidden="1">2147483647</definedName>
    <definedName name="solver_tim" localSheetId="1" hidden="1">2147483647</definedName>
    <definedName name="solver_tol" localSheetId="2" hidden="1">0.01</definedName>
    <definedName name="solver_tol" localSheetId="0" hidden="1">0.01</definedName>
    <definedName name="solver_tol" localSheetId="3" hidden="1">0.01</definedName>
    <definedName name="solver_tol" localSheetId="1" hidden="1">0.01</definedName>
    <definedName name="solver_typ" localSheetId="2" hidden="1">2</definedName>
    <definedName name="solver_typ" localSheetId="0" hidden="1">2</definedName>
    <definedName name="solver_typ" localSheetId="3" hidden="1">2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3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3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14" l="1"/>
  <c r="F15" i="14"/>
  <c r="F23" i="14"/>
  <c r="F14" i="14"/>
  <c r="Z9" i="28" l="1"/>
  <c r="J6" i="28" s="1"/>
  <c r="P6" i="28" s="1"/>
  <c r="Z8" i="28"/>
  <c r="I4" i="28"/>
  <c r="L4" i="28"/>
  <c r="V4" i="28" s="1"/>
  <c r="M4" i="28"/>
  <c r="N4" i="28"/>
  <c r="O4" i="28"/>
  <c r="I5" i="28"/>
  <c r="L5" i="28"/>
  <c r="V5" i="28" s="1"/>
  <c r="N5" i="28"/>
  <c r="I6" i="28"/>
  <c r="L6" i="28"/>
  <c r="V6" i="28" s="1"/>
  <c r="M6" i="28"/>
  <c r="O6" i="28" s="1"/>
  <c r="N6" i="28"/>
  <c r="I7" i="28"/>
  <c r="L7" i="28"/>
  <c r="M7" i="28"/>
  <c r="N7" i="28"/>
  <c r="O7" i="28" s="1"/>
  <c r="V7" i="28"/>
  <c r="I8" i="28"/>
  <c r="J8" i="28"/>
  <c r="P8" i="28" s="1"/>
  <c r="L8" i="28"/>
  <c r="V8" i="28" s="1"/>
  <c r="M8" i="28"/>
  <c r="N8" i="28"/>
  <c r="O8" i="28"/>
  <c r="I9" i="28"/>
  <c r="L9" i="28"/>
  <c r="V9" i="28" s="1"/>
  <c r="N9" i="28"/>
  <c r="I10" i="28"/>
  <c r="L10" i="28"/>
  <c r="V10" i="28" s="1"/>
  <c r="M10" i="28"/>
  <c r="O10" i="28" s="1"/>
  <c r="N10" i="28"/>
  <c r="I11" i="28"/>
  <c r="J11" i="28"/>
  <c r="P11" i="28" s="1"/>
  <c r="L11" i="28"/>
  <c r="M11" i="28"/>
  <c r="N11" i="28"/>
  <c r="O11" i="28" s="1"/>
  <c r="V11" i="28"/>
  <c r="I12" i="28"/>
  <c r="L12" i="28"/>
  <c r="V12" i="28" s="1"/>
  <c r="M12" i="28"/>
  <c r="N12" i="28"/>
  <c r="O12" i="28"/>
  <c r="I13" i="28"/>
  <c r="J13" i="28"/>
  <c r="L13" i="28"/>
  <c r="V13" i="28" s="1"/>
  <c r="N13" i="28"/>
  <c r="I14" i="28"/>
  <c r="L14" i="28"/>
  <c r="V14" i="28" s="1"/>
  <c r="M14" i="28"/>
  <c r="O14" i="28" s="1"/>
  <c r="N14" i="28"/>
  <c r="I15" i="28"/>
  <c r="L15" i="28"/>
  <c r="M15" i="28"/>
  <c r="N15" i="28"/>
  <c r="O15" i="28" s="1"/>
  <c r="V15" i="28"/>
  <c r="I16" i="28"/>
  <c r="L16" i="28"/>
  <c r="V16" i="28" s="1"/>
  <c r="M16" i="28"/>
  <c r="N16" i="28"/>
  <c r="O16" i="28"/>
  <c r="I17" i="28"/>
  <c r="L17" i="28"/>
  <c r="V17" i="28" s="1"/>
  <c r="N17" i="28"/>
  <c r="I18" i="28"/>
  <c r="J18" i="28"/>
  <c r="P18" i="28" s="1"/>
  <c r="L18" i="28"/>
  <c r="V18" i="28" s="1"/>
  <c r="M18" i="28"/>
  <c r="O18" i="28" s="1"/>
  <c r="N18" i="28"/>
  <c r="I19" i="28"/>
  <c r="L19" i="28"/>
  <c r="M19" i="28"/>
  <c r="N19" i="28"/>
  <c r="O19" i="28" s="1"/>
  <c r="V19" i="28"/>
  <c r="I20" i="28"/>
  <c r="J20" i="28"/>
  <c r="P20" i="28" s="1"/>
  <c r="L20" i="28"/>
  <c r="V20" i="28" s="1"/>
  <c r="M20" i="28"/>
  <c r="N20" i="28"/>
  <c r="O20" i="28" s="1"/>
  <c r="I21" i="28"/>
  <c r="L21" i="28"/>
  <c r="V21" i="28" s="1"/>
  <c r="N21" i="28"/>
  <c r="I22" i="28"/>
  <c r="L22" i="28"/>
  <c r="V22" i="28" s="1"/>
  <c r="M22" i="28"/>
  <c r="O22" i="28" s="1"/>
  <c r="N22" i="28"/>
  <c r="I23" i="28"/>
  <c r="L23" i="28"/>
  <c r="M23" i="28"/>
  <c r="N23" i="28"/>
  <c r="O23" i="28" s="1"/>
  <c r="V23" i="28"/>
  <c r="I24" i="28"/>
  <c r="L24" i="28"/>
  <c r="V24" i="28" s="1"/>
  <c r="M24" i="28"/>
  <c r="N24" i="28"/>
  <c r="O24" i="28" s="1"/>
  <c r="I25" i="28"/>
  <c r="L25" i="28"/>
  <c r="V25" i="28" s="1"/>
  <c r="N25" i="28"/>
  <c r="I26" i="28"/>
  <c r="L26" i="28"/>
  <c r="V26" i="28" s="1"/>
  <c r="M26" i="28"/>
  <c r="O26" i="28" s="1"/>
  <c r="N26" i="28"/>
  <c r="I27" i="28"/>
  <c r="J27" i="28"/>
  <c r="P27" i="28" s="1"/>
  <c r="L27" i="28"/>
  <c r="M27" i="28"/>
  <c r="N27" i="28"/>
  <c r="O27" i="28" s="1"/>
  <c r="V27" i="28"/>
  <c r="I28" i="28"/>
  <c r="L28" i="28"/>
  <c r="V28" i="28" s="1"/>
  <c r="M28" i="28"/>
  <c r="N28" i="28"/>
  <c r="O28" i="28" s="1"/>
  <c r="I29" i="28"/>
  <c r="J29" i="28"/>
  <c r="L29" i="28"/>
  <c r="V29" i="28" s="1"/>
  <c r="N29" i="28"/>
  <c r="I30" i="28"/>
  <c r="L30" i="28"/>
  <c r="V30" i="28" s="1"/>
  <c r="M30" i="28"/>
  <c r="O30" i="28" s="1"/>
  <c r="N30" i="28"/>
  <c r="I31" i="28"/>
  <c r="J31" i="28"/>
  <c r="P31" i="28" s="1"/>
  <c r="L31" i="28"/>
  <c r="M31" i="28"/>
  <c r="N31" i="28"/>
  <c r="O31" i="28" s="1"/>
  <c r="V31" i="28"/>
  <c r="I32" i="28"/>
  <c r="L32" i="28"/>
  <c r="V32" i="28" s="1"/>
  <c r="M32" i="28"/>
  <c r="N32" i="28"/>
  <c r="O32" i="28" s="1"/>
  <c r="Z9" i="15"/>
  <c r="J4" i="15" s="1"/>
  <c r="P4" i="15" s="1"/>
  <c r="Z8" i="15"/>
  <c r="I4" i="15"/>
  <c r="L4" i="15"/>
  <c r="V4" i="15" s="1"/>
  <c r="M4" i="15"/>
  <c r="N4" i="15"/>
  <c r="O4" i="15"/>
  <c r="I5" i="15"/>
  <c r="L5" i="15"/>
  <c r="V5" i="15" s="1"/>
  <c r="M5" i="15"/>
  <c r="N5" i="15"/>
  <c r="I6" i="15"/>
  <c r="J6" i="15"/>
  <c r="P6" i="15" s="1"/>
  <c r="L6" i="15"/>
  <c r="M6" i="15"/>
  <c r="O6" i="15" s="1"/>
  <c r="N6" i="15"/>
  <c r="V6" i="15"/>
  <c r="I7" i="15"/>
  <c r="L7" i="15"/>
  <c r="M7" i="15"/>
  <c r="N7" i="15"/>
  <c r="O7" i="15" s="1"/>
  <c r="V7" i="15"/>
  <c r="I8" i="15"/>
  <c r="J8" i="15"/>
  <c r="P8" i="15" s="1"/>
  <c r="L8" i="15"/>
  <c r="V8" i="15" s="1"/>
  <c r="M8" i="15"/>
  <c r="N8" i="15"/>
  <c r="O8" i="15" s="1"/>
  <c r="I9" i="15"/>
  <c r="L9" i="15"/>
  <c r="V9" i="15" s="1"/>
  <c r="M9" i="15"/>
  <c r="N9" i="15"/>
  <c r="I10" i="15"/>
  <c r="L10" i="15"/>
  <c r="M10" i="15"/>
  <c r="O10" i="15" s="1"/>
  <c r="N10" i="15"/>
  <c r="V10" i="15"/>
  <c r="I11" i="15"/>
  <c r="L11" i="15"/>
  <c r="M11" i="15"/>
  <c r="N11" i="15"/>
  <c r="O11" i="15" s="1"/>
  <c r="V11" i="15"/>
  <c r="I12" i="15"/>
  <c r="L12" i="15"/>
  <c r="V12" i="15" s="1"/>
  <c r="M12" i="15"/>
  <c r="N12" i="15"/>
  <c r="O12" i="15" s="1"/>
  <c r="I13" i="15"/>
  <c r="L13" i="15"/>
  <c r="V13" i="15" s="1"/>
  <c r="M13" i="15"/>
  <c r="N13" i="15"/>
  <c r="I14" i="15"/>
  <c r="J14" i="15"/>
  <c r="P14" i="15" s="1"/>
  <c r="L14" i="15"/>
  <c r="M14" i="15"/>
  <c r="O14" i="15" s="1"/>
  <c r="N14" i="15"/>
  <c r="V14" i="15"/>
  <c r="I15" i="15"/>
  <c r="L15" i="15"/>
  <c r="M15" i="15"/>
  <c r="N15" i="15"/>
  <c r="O15" i="15" s="1"/>
  <c r="V15" i="15"/>
  <c r="I16" i="15"/>
  <c r="J16" i="15"/>
  <c r="P16" i="15" s="1"/>
  <c r="L16" i="15"/>
  <c r="V16" i="15" s="1"/>
  <c r="M16" i="15"/>
  <c r="N16" i="15"/>
  <c r="O16" i="15" s="1"/>
  <c r="I17" i="15"/>
  <c r="J17" i="15"/>
  <c r="P17" i="15" s="1"/>
  <c r="L17" i="15"/>
  <c r="V17" i="15" s="1"/>
  <c r="M17" i="15"/>
  <c r="N17" i="15"/>
  <c r="I18" i="15"/>
  <c r="L18" i="15"/>
  <c r="M18" i="15"/>
  <c r="O18" i="15" s="1"/>
  <c r="N18" i="15"/>
  <c r="V18" i="15"/>
  <c r="I19" i="15"/>
  <c r="J19" i="15"/>
  <c r="P19" i="15" s="1"/>
  <c r="L19" i="15"/>
  <c r="M19" i="15"/>
  <c r="N19" i="15"/>
  <c r="O19" i="15" s="1"/>
  <c r="V19" i="15"/>
  <c r="I20" i="15"/>
  <c r="L20" i="15"/>
  <c r="V20" i="15" s="1"/>
  <c r="M20" i="15"/>
  <c r="N20" i="15"/>
  <c r="O20" i="15" s="1"/>
  <c r="I21" i="15"/>
  <c r="J21" i="15"/>
  <c r="P21" i="15" s="1"/>
  <c r="L21" i="15"/>
  <c r="V21" i="15" s="1"/>
  <c r="M21" i="15"/>
  <c r="N21" i="15"/>
  <c r="I22" i="15"/>
  <c r="L22" i="15"/>
  <c r="M22" i="15"/>
  <c r="O22" i="15" s="1"/>
  <c r="N22" i="15"/>
  <c r="V22" i="15"/>
  <c r="I23" i="15"/>
  <c r="J23" i="15"/>
  <c r="P23" i="15" s="1"/>
  <c r="L23" i="15"/>
  <c r="M23" i="15"/>
  <c r="N23" i="15"/>
  <c r="O23" i="15" s="1"/>
  <c r="V23" i="15"/>
  <c r="I24" i="15"/>
  <c r="L24" i="15"/>
  <c r="V24" i="15" s="1"/>
  <c r="M24" i="15"/>
  <c r="O24" i="15" s="1"/>
  <c r="N24" i="15"/>
  <c r="I25" i="15"/>
  <c r="J25" i="15"/>
  <c r="P25" i="15" s="1"/>
  <c r="L25" i="15"/>
  <c r="M25" i="15"/>
  <c r="N25" i="15"/>
  <c r="V25" i="15"/>
  <c r="I26" i="15"/>
  <c r="J26" i="15"/>
  <c r="P26" i="15" s="1"/>
  <c r="L26" i="15"/>
  <c r="M26" i="15"/>
  <c r="O26" i="15" s="1"/>
  <c r="N26" i="15"/>
  <c r="V26" i="15"/>
  <c r="I27" i="15"/>
  <c r="J27" i="15"/>
  <c r="P27" i="15" s="1"/>
  <c r="L27" i="15"/>
  <c r="M27" i="15"/>
  <c r="N27" i="15"/>
  <c r="O27" i="15" s="1"/>
  <c r="V27" i="15"/>
  <c r="I28" i="15"/>
  <c r="J28" i="15"/>
  <c r="L28" i="15"/>
  <c r="V28" i="15" s="1"/>
  <c r="M28" i="15"/>
  <c r="O28" i="15" s="1"/>
  <c r="N28" i="15"/>
  <c r="P28" i="15"/>
  <c r="I29" i="15"/>
  <c r="J29" i="15"/>
  <c r="P29" i="15" s="1"/>
  <c r="L29" i="15"/>
  <c r="M29" i="15"/>
  <c r="N29" i="15"/>
  <c r="V29" i="15"/>
  <c r="I30" i="15"/>
  <c r="J30" i="15"/>
  <c r="P30" i="15" s="1"/>
  <c r="L30" i="15"/>
  <c r="M30" i="15"/>
  <c r="O30" i="15" s="1"/>
  <c r="N30" i="15"/>
  <c r="V30" i="15"/>
  <c r="I31" i="15"/>
  <c r="J31" i="15"/>
  <c r="P31" i="15" s="1"/>
  <c r="L31" i="15"/>
  <c r="M31" i="15"/>
  <c r="N31" i="15"/>
  <c r="O31" i="15" s="1"/>
  <c r="V31" i="15"/>
  <c r="I32" i="15"/>
  <c r="J32" i="15"/>
  <c r="P32" i="15" s="1"/>
  <c r="L32" i="15"/>
  <c r="V32" i="15" s="1"/>
  <c r="M32" i="15"/>
  <c r="N32" i="15"/>
  <c r="O32" i="15"/>
  <c r="K10" i="28"/>
  <c r="J22" i="15" l="1"/>
  <c r="P22" i="15" s="1"/>
  <c r="J20" i="15"/>
  <c r="P20" i="15" s="1"/>
  <c r="J26" i="28"/>
  <c r="P26" i="28" s="1"/>
  <c r="J21" i="28"/>
  <c r="J19" i="28"/>
  <c r="P19" i="28" s="1"/>
  <c r="J10" i="28"/>
  <c r="P10" i="28" s="1"/>
  <c r="J9" i="15"/>
  <c r="P9" i="15" s="1"/>
  <c r="J7" i="15"/>
  <c r="P7" i="15" s="1"/>
  <c r="J5" i="15"/>
  <c r="P5" i="15" s="1"/>
  <c r="J28" i="28"/>
  <c r="P28" i="28" s="1"/>
  <c r="J12" i="28"/>
  <c r="P12" i="28" s="1"/>
  <c r="J5" i="28"/>
  <c r="J11" i="15"/>
  <c r="P11" i="15" s="1"/>
  <c r="J14" i="28"/>
  <c r="P14" i="28" s="1"/>
  <c r="J24" i="15"/>
  <c r="P24" i="15" s="1"/>
  <c r="J18" i="15"/>
  <c r="P18" i="15" s="1"/>
  <c r="J13" i="15"/>
  <c r="P13" i="15" s="1"/>
  <c r="J30" i="28"/>
  <c r="P30" i="28" s="1"/>
  <c r="J23" i="28"/>
  <c r="P23" i="28" s="1"/>
  <c r="J16" i="28"/>
  <c r="P16" i="28" s="1"/>
  <c r="J15" i="15"/>
  <c r="P15" i="15" s="1"/>
  <c r="J32" i="28"/>
  <c r="P32" i="28" s="1"/>
  <c r="J25" i="28"/>
  <c r="J9" i="28"/>
  <c r="J7" i="28"/>
  <c r="P7" i="28" s="1"/>
  <c r="J12" i="15"/>
  <c r="P12" i="15" s="1"/>
  <c r="J10" i="15"/>
  <c r="P10" i="15" s="1"/>
  <c r="J22" i="28"/>
  <c r="P22" i="28" s="1"/>
  <c r="J4" i="28"/>
  <c r="P4" i="28" s="1"/>
  <c r="J24" i="28"/>
  <c r="P24" i="28" s="1"/>
  <c r="J17" i="28"/>
  <c r="J15" i="28"/>
  <c r="P15" i="28" s="1"/>
  <c r="K20" i="28"/>
  <c r="T20" i="28" s="1"/>
  <c r="K15" i="15"/>
  <c r="T15" i="15" s="1"/>
  <c r="K26" i="15"/>
  <c r="T26" i="15" s="1"/>
  <c r="K22" i="28"/>
  <c r="K13" i="28"/>
  <c r="K23" i="15"/>
  <c r="T23" i="15" s="1"/>
  <c r="K15" i="28"/>
  <c r="K8" i="28"/>
  <c r="K32" i="28"/>
  <c r="T32" i="28" s="1"/>
  <c r="K13" i="15"/>
  <c r="K4" i="15"/>
  <c r="K27" i="28"/>
  <c r="K3" i="15"/>
  <c r="K27" i="15"/>
  <c r="K24" i="15"/>
  <c r="T4" i="15"/>
  <c r="K30" i="28"/>
  <c r="T30" i="28" s="1"/>
  <c r="K21" i="28"/>
  <c r="K16" i="28"/>
  <c r="K9" i="28"/>
  <c r="K21" i="15"/>
  <c r="K18" i="28"/>
  <c r="T18" i="28" s="1"/>
  <c r="K16" i="15"/>
  <c r="T16" i="15" s="1"/>
  <c r="K5" i="15"/>
  <c r="K23" i="28"/>
  <c r="T23" i="28" s="1"/>
  <c r="K11" i="28"/>
  <c r="T11" i="28" s="1"/>
  <c r="K4" i="28"/>
  <c r="K30" i="15"/>
  <c r="T30" i="15" s="1"/>
  <c r="K10" i="15"/>
  <c r="K8" i="15"/>
  <c r="T8" i="15" s="1"/>
  <c r="K28" i="28"/>
  <c r="T28" i="28" s="1"/>
  <c r="K14" i="28"/>
  <c r="K31" i="15"/>
  <c r="K28" i="15"/>
  <c r="T28" i="15" s="1"/>
  <c r="K11" i="15"/>
  <c r="K5" i="28"/>
  <c r="K25" i="28"/>
  <c r="K25" i="15"/>
  <c r="K22" i="15"/>
  <c r="K19" i="15"/>
  <c r="T19" i="15" s="1"/>
  <c r="K14" i="15"/>
  <c r="K3" i="28"/>
  <c r="K17" i="28"/>
  <c r="K7" i="28"/>
  <c r="K9" i="15"/>
  <c r="K6" i="15"/>
  <c r="T6" i="15" s="1"/>
  <c r="K29" i="28"/>
  <c r="K26" i="28"/>
  <c r="K24" i="28"/>
  <c r="K19" i="28"/>
  <c r="K12" i="28"/>
  <c r="K18" i="15"/>
  <c r="T18" i="15" s="1"/>
  <c r="K32" i="15"/>
  <c r="K29" i="15"/>
  <c r="K17" i="15"/>
  <c r="K12" i="15"/>
  <c r="K31" i="28"/>
  <c r="K7" i="15"/>
  <c r="K6" i="28"/>
  <c r="T6" i="28" s="1"/>
  <c r="K20" i="15"/>
  <c r="T20" i="15" s="1"/>
  <c r="T8" i="28"/>
  <c r="T27" i="28"/>
  <c r="T31" i="28"/>
  <c r="M29" i="28"/>
  <c r="M25" i="28"/>
  <c r="M21" i="28"/>
  <c r="M17" i="28"/>
  <c r="M13" i="28"/>
  <c r="M9" i="28"/>
  <c r="M5" i="28"/>
  <c r="T32" i="15"/>
  <c r="T12" i="15"/>
  <c r="O29" i="15"/>
  <c r="O25" i="15"/>
  <c r="O21" i="15"/>
  <c r="O17" i="15"/>
  <c r="O13" i="15"/>
  <c r="O9" i="15"/>
  <c r="O5" i="15"/>
  <c r="T31" i="15"/>
  <c r="T27" i="15"/>
  <c r="T14" i="15"/>
  <c r="T5" i="15" l="1"/>
  <c r="T29" i="15"/>
  <c r="T10" i="28"/>
  <c r="T22" i="28"/>
  <c r="T11" i="15"/>
  <c r="T16" i="28"/>
  <c r="T4" i="28"/>
  <c r="T24" i="15"/>
  <c r="T26" i="28"/>
  <c r="T7" i="15"/>
  <c r="T10" i="15"/>
  <c r="T22" i="15"/>
  <c r="T15" i="28"/>
  <c r="T9" i="15"/>
  <c r="T13" i="15"/>
  <c r="T25" i="15"/>
  <c r="T14" i="28"/>
  <c r="T12" i="28"/>
  <c r="T24" i="28"/>
  <c r="T17" i="15"/>
  <c r="T19" i="28"/>
  <c r="T21" i="15"/>
  <c r="T7" i="28"/>
  <c r="O25" i="28"/>
  <c r="T25" i="28" s="1"/>
  <c r="P25" i="28"/>
  <c r="O5" i="28"/>
  <c r="T5" i="28" s="1"/>
  <c r="P5" i="28"/>
  <c r="O29" i="28"/>
  <c r="T29" i="28" s="1"/>
  <c r="P29" i="28"/>
  <c r="O13" i="28"/>
  <c r="T13" i="28" s="1"/>
  <c r="P13" i="28"/>
  <c r="O17" i="28"/>
  <c r="T17" i="28" s="1"/>
  <c r="P17" i="28"/>
  <c r="O9" i="28"/>
  <c r="T9" i="28" s="1"/>
  <c r="P9" i="28"/>
  <c r="P21" i="28"/>
  <c r="O21" i="28"/>
  <c r="T21" i="28" s="1"/>
  <c r="S13" i="28" l="1"/>
  <c r="S25" i="28"/>
  <c r="S17" i="28"/>
  <c r="S21" i="28"/>
  <c r="S5" i="28"/>
  <c r="Z3" i="15"/>
  <c r="Z2" i="15"/>
  <c r="Z1" i="15"/>
  <c r="F11" i="17"/>
  <c r="F2" i="17"/>
  <c r="F17" i="14"/>
  <c r="F8" i="17" s="1"/>
  <c r="F9" i="17" s="1"/>
  <c r="F7" i="17"/>
  <c r="F6" i="17"/>
  <c r="B4" i="17"/>
  <c r="B3" i="17"/>
  <c r="B2" i="17"/>
  <c r="Z2" i="28"/>
  <c r="Z3" i="28"/>
  <c r="Z1" i="28"/>
  <c r="Q15" i="15" l="1"/>
  <c r="R15" i="15" s="1"/>
  <c r="Q32" i="15"/>
  <c r="R32" i="15" s="1"/>
  <c r="Q24" i="15"/>
  <c r="R24" i="15" s="1"/>
  <c r="Q29" i="15"/>
  <c r="R29" i="15" s="1"/>
  <c r="Q13" i="15"/>
  <c r="R13" i="15" s="1"/>
  <c r="Q8" i="15"/>
  <c r="R8" i="15" s="1"/>
  <c r="Q17" i="15"/>
  <c r="R17" i="15" s="1"/>
  <c r="Q19" i="15"/>
  <c r="R19" i="15" s="1"/>
  <c r="S24" i="15"/>
  <c r="Q31" i="15"/>
  <c r="R31" i="15" s="1"/>
  <c r="S8" i="15"/>
  <c r="W31" i="15"/>
  <c r="Q20" i="15"/>
  <c r="R20" i="15" s="1"/>
  <c r="Q12" i="15"/>
  <c r="R12" i="15" s="1"/>
  <c r="Q21" i="15"/>
  <c r="R21" i="15" s="1"/>
  <c r="Q23" i="15"/>
  <c r="R23" i="15" s="1"/>
  <c r="W27" i="15"/>
  <c r="Q5" i="15"/>
  <c r="R5" i="15" s="1"/>
  <c r="Q7" i="15"/>
  <c r="R7" i="15" s="1"/>
  <c r="Q28" i="15"/>
  <c r="R28" i="15" s="1"/>
  <c r="Q16" i="15"/>
  <c r="R16" i="15" s="1"/>
  <c r="S28" i="15"/>
  <c r="S4" i="15"/>
  <c r="Q25" i="15"/>
  <c r="R25" i="15" s="1"/>
  <c r="W11" i="15"/>
  <c r="Q9" i="15"/>
  <c r="R9" i="15" s="1"/>
  <c r="Q11" i="15"/>
  <c r="R11" i="15" s="1"/>
  <c r="Q27" i="15"/>
  <c r="R27" i="15" s="1"/>
  <c r="Q4" i="15"/>
  <c r="R4" i="15" s="1"/>
  <c r="S20" i="15"/>
  <c r="S10" i="15"/>
  <c r="S27" i="15"/>
  <c r="Q26" i="15"/>
  <c r="R26" i="15" s="1"/>
  <c r="S5" i="15"/>
  <c r="S23" i="15"/>
  <c r="S14" i="15"/>
  <c r="Q30" i="15"/>
  <c r="R30" i="15" s="1"/>
  <c r="W24" i="15"/>
  <c r="W16" i="15"/>
  <c r="S32" i="15"/>
  <c r="W26" i="15"/>
  <c r="W29" i="15"/>
  <c r="Q22" i="15"/>
  <c r="R22" i="15" s="1"/>
  <c r="Q10" i="15"/>
  <c r="R10" i="15" s="1"/>
  <c r="S18" i="15"/>
  <c r="Q6" i="15"/>
  <c r="R6" i="15" s="1"/>
  <c r="W5" i="15"/>
  <c r="W7" i="15"/>
  <c r="S30" i="15"/>
  <c r="S11" i="15"/>
  <c r="S12" i="15"/>
  <c r="W22" i="15"/>
  <c r="W12" i="15"/>
  <c r="W13" i="15"/>
  <c r="W20" i="15"/>
  <c r="W17" i="15"/>
  <c r="W4" i="15"/>
  <c r="W25" i="15"/>
  <c r="S22" i="15"/>
  <c r="U22" i="15" s="1"/>
  <c r="W10" i="15"/>
  <c r="S13" i="15"/>
  <c r="W30" i="15"/>
  <c r="Q18" i="15"/>
  <c r="R18" i="15" s="1"/>
  <c r="W14" i="15"/>
  <c r="S25" i="15"/>
  <c r="W32" i="15"/>
  <c r="S16" i="15"/>
  <c r="W15" i="15"/>
  <c r="S15" i="15"/>
  <c r="S31" i="15"/>
  <c r="W18" i="15"/>
  <c r="W21" i="15"/>
  <c r="Q14" i="15"/>
  <c r="R14" i="15" s="1"/>
  <c r="W19" i="15"/>
  <c r="S29" i="15"/>
  <c r="S21" i="15"/>
  <c r="S19" i="15"/>
  <c r="S17" i="15"/>
  <c r="S6" i="15"/>
  <c r="S26" i="15"/>
  <c r="U26" i="15" s="1"/>
  <c r="W6" i="15"/>
  <c r="W28" i="15"/>
  <c r="S7" i="15"/>
  <c r="U7" i="15" s="1"/>
  <c r="W8" i="15"/>
  <c r="W23" i="15"/>
  <c r="W9" i="15"/>
  <c r="S9" i="15"/>
  <c r="Q24" i="28"/>
  <c r="R24" i="28" s="1"/>
  <c r="Q28" i="28"/>
  <c r="R28" i="28" s="1"/>
  <c r="Q32" i="28"/>
  <c r="R32" i="28" s="1"/>
  <c r="Q4" i="28"/>
  <c r="R4" i="28" s="1"/>
  <c r="Q8" i="28"/>
  <c r="R8" i="28" s="1"/>
  <c r="Q12" i="28"/>
  <c r="R12" i="28" s="1"/>
  <c r="Q16" i="28"/>
  <c r="R16" i="28" s="1"/>
  <c r="Q20" i="28"/>
  <c r="R20" i="28" s="1"/>
  <c r="S28" i="28"/>
  <c r="S4" i="28"/>
  <c r="U4" i="28" s="1"/>
  <c r="S12" i="28"/>
  <c r="U12" i="28" s="1"/>
  <c r="AG12" i="17" s="1"/>
  <c r="S20" i="28"/>
  <c r="Q27" i="28"/>
  <c r="R27" i="28" s="1"/>
  <c r="Q11" i="28"/>
  <c r="R11" i="28" s="1"/>
  <c r="Q19" i="28"/>
  <c r="R19" i="28" s="1"/>
  <c r="Q31" i="28"/>
  <c r="R31" i="28" s="1"/>
  <c r="Q7" i="28"/>
  <c r="R7" i="28" s="1"/>
  <c r="Q15" i="28"/>
  <c r="R15" i="28" s="1"/>
  <c r="Q23" i="28"/>
  <c r="R23" i="28" s="1"/>
  <c r="W27" i="28"/>
  <c r="S16" i="28"/>
  <c r="U16" i="28" s="1"/>
  <c r="W23" i="28"/>
  <c r="S26" i="28"/>
  <c r="U25" i="28" s="1"/>
  <c r="AG25" i="17" s="1"/>
  <c r="S10" i="28"/>
  <c r="W14" i="28"/>
  <c r="S8" i="28"/>
  <c r="U8" i="28" s="1"/>
  <c r="W16" i="28"/>
  <c r="S11" i="28"/>
  <c r="W10" i="28"/>
  <c r="W18" i="28"/>
  <c r="W8" i="28"/>
  <c r="S6" i="28"/>
  <c r="W6" i="28"/>
  <c r="W30" i="28"/>
  <c r="Q14" i="28"/>
  <c r="R14" i="28" s="1"/>
  <c r="S27" i="28"/>
  <c r="Q26" i="28"/>
  <c r="R26" i="28" s="1"/>
  <c r="W15" i="28"/>
  <c r="S23" i="28"/>
  <c r="S15" i="28"/>
  <c r="U15" i="28" s="1"/>
  <c r="S30" i="28"/>
  <c r="Q22" i="28"/>
  <c r="R22" i="28" s="1"/>
  <c r="W24" i="28"/>
  <c r="W7" i="28"/>
  <c r="Q18" i="28"/>
  <c r="R18" i="28" s="1"/>
  <c r="S22" i="28"/>
  <c r="U21" i="28" s="1"/>
  <c r="Q30" i="28"/>
  <c r="R30" i="28" s="1"/>
  <c r="W20" i="28"/>
  <c r="S7" i="28"/>
  <c r="W26" i="28"/>
  <c r="S19" i="28"/>
  <c r="W12" i="28"/>
  <c r="W31" i="28"/>
  <c r="Q10" i="28"/>
  <c r="R10" i="28" s="1"/>
  <c r="S24" i="28"/>
  <c r="U24" i="28" s="1"/>
  <c r="W4" i="28"/>
  <c r="W28" i="28"/>
  <c r="S31" i="28"/>
  <c r="S18" i="28"/>
  <c r="U17" i="28" s="1"/>
  <c r="W22" i="28"/>
  <c r="Q6" i="28"/>
  <c r="R6" i="28" s="1"/>
  <c r="W32" i="28"/>
  <c r="S32" i="28"/>
  <c r="W19" i="28"/>
  <c r="W11" i="28"/>
  <c r="S14" i="28"/>
  <c r="U14" i="28" s="1"/>
  <c r="AG14" i="17" s="1"/>
  <c r="W13" i="28"/>
  <c r="Q25" i="28"/>
  <c r="R25" i="28" s="1"/>
  <c r="Q9" i="28"/>
  <c r="R9" i="28" s="1"/>
  <c r="Q17" i="28"/>
  <c r="R17" i="28" s="1"/>
  <c r="W25" i="28"/>
  <c r="W5" i="28"/>
  <c r="W21" i="28"/>
  <c r="Q13" i="28"/>
  <c r="R13" i="28" s="1"/>
  <c r="Q21" i="28"/>
  <c r="R21" i="28" s="1"/>
  <c r="W29" i="28"/>
  <c r="W17" i="28"/>
  <c r="Q5" i="28"/>
  <c r="R5" i="28" s="1"/>
  <c r="W9" i="28"/>
  <c r="Q29" i="28"/>
  <c r="R29" i="28" s="1"/>
  <c r="S9" i="28"/>
  <c r="S29" i="28"/>
  <c r="U28" i="28" s="1"/>
  <c r="U20" i="28"/>
  <c r="U9" i="28"/>
  <c r="F12" i="17"/>
  <c r="F10" i="17"/>
  <c r="U4" i="15" l="1"/>
  <c r="U15" i="15"/>
  <c r="U30" i="28"/>
  <c r="AG30" i="17" s="1"/>
  <c r="AG9" i="17"/>
  <c r="U20" i="15"/>
  <c r="AG8" i="17"/>
  <c r="U27" i="28"/>
  <c r="U29" i="15"/>
  <c r="U12" i="15"/>
  <c r="U17" i="15"/>
  <c r="U18" i="28"/>
  <c r="AG18" i="17" s="1"/>
  <c r="U11" i="15"/>
  <c r="U31" i="28"/>
  <c r="AG31" i="17" s="1"/>
  <c r="U22" i="28"/>
  <c r="AG4" i="17"/>
  <c r="U14" i="15"/>
  <c r="AG20" i="17"/>
  <c r="U25" i="15"/>
  <c r="AG16" i="17"/>
  <c r="U10" i="28"/>
  <c r="U9" i="15"/>
  <c r="U6" i="28"/>
  <c r="AG6" i="17" s="1"/>
  <c r="U23" i="15"/>
  <c r="U8" i="15"/>
  <c r="AG24" i="17"/>
  <c r="U31" i="15"/>
  <c r="U5" i="15"/>
  <c r="U28" i="15"/>
  <c r="M10" i="17"/>
  <c r="Z10" i="17"/>
  <c r="N10" i="17"/>
  <c r="AA10" i="17"/>
  <c r="O10" i="17"/>
  <c r="AB10" i="17"/>
  <c r="Y10" i="17"/>
  <c r="P10" i="17"/>
  <c r="AC10" i="17"/>
  <c r="Q10" i="17"/>
  <c r="AD10" i="17"/>
  <c r="X10" i="17"/>
  <c r="R10" i="17"/>
  <c r="AE10" i="17"/>
  <c r="S10" i="17"/>
  <c r="AH10" i="17"/>
  <c r="T10" i="17"/>
  <c r="AI10" i="17"/>
  <c r="U10" i="17"/>
  <c r="V10" i="17"/>
  <c r="W10" i="17"/>
  <c r="AF10" i="17"/>
  <c r="U18" i="17"/>
  <c r="T18" i="17"/>
  <c r="V18" i="17"/>
  <c r="X18" i="17"/>
  <c r="Y18" i="17"/>
  <c r="M18" i="17"/>
  <c r="Z18" i="17"/>
  <c r="S18" i="17"/>
  <c r="AI18" i="17"/>
  <c r="N18" i="17"/>
  <c r="AA18" i="17"/>
  <c r="O18" i="17"/>
  <c r="AB18" i="17"/>
  <c r="P18" i="17"/>
  <c r="AC18" i="17"/>
  <c r="AH18" i="17"/>
  <c r="Q18" i="17"/>
  <c r="AD18" i="17"/>
  <c r="R18" i="17"/>
  <c r="AE18" i="17"/>
  <c r="AF18" i="17"/>
  <c r="W18" i="17"/>
  <c r="U18" i="15"/>
  <c r="AG17" i="17"/>
  <c r="AG15" i="17"/>
  <c r="U11" i="28"/>
  <c r="AG11" i="17" s="1"/>
  <c r="U15" i="17"/>
  <c r="V15" i="17"/>
  <c r="X15" i="17"/>
  <c r="Y15" i="17"/>
  <c r="T15" i="17"/>
  <c r="M15" i="17"/>
  <c r="Z15" i="17"/>
  <c r="S15" i="17"/>
  <c r="N15" i="17"/>
  <c r="AA15" i="17"/>
  <c r="O15" i="17"/>
  <c r="AB15" i="17"/>
  <c r="P15" i="17"/>
  <c r="AC15" i="17"/>
  <c r="Q15" i="17"/>
  <c r="AD15" i="17"/>
  <c r="AI15" i="17"/>
  <c r="R15" i="17"/>
  <c r="AE15" i="17"/>
  <c r="AH15" i="17"/>
  <c r="AF15" i="17"/>
  <c r="W15" i="17"/>
  <c r="U19" i="28"/>
  <c r="AG19" i="17" s="1"/>
  <c r="U23" i="28"/>
  <c r="AG23" i="17" s="1"/>
  <c r="U6" i="15"/>
  <c r="U16" i="15"/>
  <c r="Q20" i="17"/>
  <c r="AD20" i="17"/>
  <c r="R20" i="17"/>
  <c r="AE20" i="17"/>
  <c r="S20" i="17"/>
  <c r="AH20" i="17"/>
  <c r="O20" i="17"/>
  <c r="P20" i="17"/>
  <c r="T20" i="17"/>
  <c r="AI20" i="17"/>
  <c r="U20" i="17"/>
  <c r="V20" i="17"/>
  <c r="AB20" i="17"/>
  <c r="X20" i="17"/>
  <c r="Y20" i="17"/>
  <c r="AC20" i="17"/>
  <c r="M20" i="17"/>
  <c r="Z20" i="17"/>
  <c r="N20" i="17"/>
  <c r="AA20" i="17"/>
  <c r="W20" i="17"/>
  <c r="AF20" i="17"/>
  <c r="U10" i="15"/>
  <c r="U5" i="28"/>
  <c r="AG5" i="17" s="1"/>
  <c r="M13" i="17"/>
  <c r="Z13" i="17"/>
  <c r="N13" i="17"/>
  <c r="AA13" i="17"/>
  <c r="O13" i="17"/>
  <c r="AB13" i="17"/>
  <c r="P13" i="17"/>
  <c r="AC13" i="17"/>
  <c r="Q13" i="17"/>
  <c r="AD13" i="17"/>
  <c r="X13" i="17"/>
  <c r="R13" i="17"/>
  <c r="AE13" i="17"/>
  <c r="S13" i="17"/>
  <c r="AH13" i="17"/>
  <c r="T13" i="17"/>
  <c r="AI13" i="17"/>
  <c r="Y13" i="17"/>
  <c r="U13" i="17"/>
  <c r="V13" i="17"/>
  <c r="W13" i="17"/>
  <c r="AF13" i="17"/>
  <c r="U19" i="15"/>
  <c r="U12" i="17"/>
  <c r="AI12" i="17"/>
  <c r="V12" i="17"/>
  <c r="X12" i="17"/>
  <c r="Y12" i="17"/>
  <c r="M12" i="17"/>
  <c r="Z12" i="17"/>
  <c r="S12" i="17"/>
  <c r="T12" i="17"/>
  <c r="N12" i="17"/>
  <c r="AA12" i="17"/>
  <c r="O12" i="17"/>
  <c r="AB12" i="17"/>
  <c r="P12" i="17"/>
  <c r="AC12" i="17"/>
  <c r="Q12" i="17"/>
  <c r="AD12" i="17"/>
  <c r="R12" i="17"/>
  <c r="AE12" i="17"/>
  <c r="AH12" i="17"/>
  <c r="W12" i="17"/>
  <c r="AF12" i="17"/>
  <c r="AG10" i="17"/>
  <c r="Q14" i="17"/>
  <c r="AD14" i="17"/>
  <c r="R14" i="17"/>
  <c r="AE14" i="17"/>
  <c r="S14" i="17"/>
  <c r="AH14" i="17"/>
  <c r="P14" i="17"/>
  <c r="T14" i="17"/>
  <c r="AI14" i="17"/>
  <c r="U14" i="17"/>
  <c r="O14" i="17"/>
  <c r="V14" i="17"/>
  <c r="AC14" i="17"/>
  <c r="X14" i="17"/>
  <c r="Y14" i="17"/>
  <c r="M14" i="17"/>
  <c r="Z14" i="17"/>
  <c r="N14" i="17"/>
  <c r="AA14" i="17"/>
  <c r="AB14" i="17"/>
  <c r="W14" i="17"/>
  <c r="AF14" i="17"/>
  <c r="AG28" i="17"/>
  <c r="U26" i="28"/>
  <c r="AG26" i="17" s="1"/>
  <c r="M16" i="17"/>
  <c r="Z16" i="17"/>
  <c r="N16" i="17"/>
  <c r="AA16" i="17"/>
  <c r="O16" i="17"/>
  <c r="AB16" i="17"/>
  <c r="P16" i="17"/>
  <c r="AC16" i="17"/>
  <c r="Q16" i="17"/>
  <c r="AD16" i="17"/>
  <c r="R16" i="17"/>
  <c r="AE16" i="17"/>
  <c r="S16" i="17"/>
  <c r="AH16" i="17"/>
  <c r="Y16" i="17"/>
  <c r="T16" i="17"/>
  <c r="AI16" i="17"/>
  <c r="U16" i="17"/>
  <c r="X16" i="17"/>
  <c r="V16" i="17"/>
  <c r="W16" i="17"/>
  <c r="AF16" i="17"/>
  <c r="Q29" i="17"/>
  <c r="AD29" i="17"/>
  <c r="P29" i="17"/>
  <c r="R29" i="17"/>
  <c r="AE29" i="17"/>
  <c r="S29" i="17"/>
  <c r="AH29" i="17"/>
  <c r="T29" i="17"/>
  <c r="AI29" i="17"/>
  <c r="U29" i="17"/>
  <c r="O29" i="17"/>
  <c r="V29" i="17"/>
  <c r="AB29" i="17"/>
  <c r="AC29" i="17"/>
  <c r="X29" i="17"/>
  <c r="Y29" i="17"/>
  <c r="M29" i="17"/>
  <c r="Z29" i="17"/>
  <c r="N29" i="17"/>
  <c r="AA29" i="17"/>
  <c r="W29" i="17"/>
  <c r="AF29" i="17"/>
  <c r="Q8" i="17"/>
  <c r="AD8" i="17"/>
  <c r="R8" i="17"/>
  <c r="AE8" i="17"/>
  <c r="AB8" i="17"/>
  <c r="S8" i="17"/>
  <c r="AH8" i="17"/>
  <c r="T8" i="17"/>
  <c r="AI8" i="17"/>
  <c r="O8" i="17"/>
  <c r="U8" i="17"/>
  <c r="P8" i="17"/>
  <c r="V8" i="17"/>
  <c r="X8" i="17"/>
  <c r="Y8" i="17"/>
  <c r="AC8" i="17"/>
  <c r="M8" i="17"/>
  <c r="Z8" i="17"/>
  <c r="N8" i="17"/>
  <c r="AA8" i="17"/>
  <c r="W8" i="17"/>
  <c r="AF8" i="17"/>
  <c r="Q32" i="17"/>
  <c r="AD32" i="17"/>
  <c r="R32" i="17"/>
  <c r="AE32" i="17"/>
  <c r="S32" i="17"/>
  <c r="AH32" i="17"/>
  <c r="T32" i="17"/>
  <c r="AI32" i="17"/>
  <c r="U32" i="17"/>
  <c r="P32" i="17"/>
  <c r="V32" i="17"/>
  <c r="X32" i="17"/>
  <c r="AC32" i="17"/>
  <c r="Y32" i="17"/>
  <c r="M32" i="17"/>
  <c r="Z32" i="17"/>
  <c r="AB32" i="17"/>
  <c r="N32" i="17"/>
  <c r="AA32" i="17"/>
  <c r="O32" i="17"/>
  <c r="W32" i="17"/>
  <c r="AF32" i="17"/>
  <c r="U7" i="28"/>
  <c r="AG7" i="17" s="1"/>
  <c r="Q26" i="17"/>
  <c r="AD26" i="17"/>
  <c r="R26" i="17"/>
  <c r="AE26" i="17"/>
  <c r="S26" i="17"/>
  <c r="AH26" i="17"/>
  <c r="AC26" i="17"/>
  <c r="T26" i="17"/>
  <c r="AI26" i="17"/>
  <c r="U26" i="17"/>
  <c r="O26" i="17"/>
  <c r="V26" i="17"/>
  <c r="P26" i="17"/>
  <c r="X26" i="17"/>
  <c r="Y26" i="17"/>
  <c r="M26" i="17"/>
  <c r="Z26" i="17"/>
  <c r="N26" i="17"/>
  <c r="AA26" i="17"/>
  <c r="AB26" i="17"/>
  <c r="W26" i="17"/>
  <c r="AF26" i="17"/>
  <c r="U27" i="17"/>
  <c r="V27" i="17"/>
  <c r="AH27" i="17"/>
  <c r="X27" i="17"/>
  <c r="Y27" i="17"/>
  <c r="M27" i="17"/>
  <c r="Z27" i="17"/>
  <c r="N27" i="17"/>
  <c r="AA27" i="17"/>
  <c r="O27" i="17"/>
  <c r="AB27" i="17"/>
  <c r="T27" i="17"/>
  <c r="P27" i="17"/>
  <c r="AC27" i="17"/>
  <c r="AI27" i="17"/>
  <c r="Q27" i="17"/>
  <c r="AD27" i="17"/>
  <c r="S27" i="17"/>
  <c r="R27" i="17"/>
  <c r="AE27" i="17"/>
  <c r="AF27" i="17"/>
  <c r="W27" i="17"/>
  <c r="U13" i="28"/>
  <c r="AG13" i="17" s="1"/>
  <c r="AG27" i="17"/>
  <c r="U21" i="15"/>
  <c r="M22" i="17"/>
  <c r="Z22" i="17"/>
  <c r="N22" i="17"/>
  <c r="AA22" i="17"/>
  <c r="O22" i="17"/>
  <c r="AB22" i="17"/>
  <c r="Y22" i="17"/>
  <c r="P22" i="17"/>
  <c r="AC22" i="17"/>
  <c r="Q22" i="17"/>
  <c r="AD22" i="17"/>
  <c r="X22" i="17"/>
  <c r="R22" i="17"/>
  <c r="AE22" i="17"/>
  <c r="S22" i="17"/>
  <c r="AH22" i="17"/>
  <c r="T22" i="17"/>
  <c r="AI22" i="17"/>
  <c r="U22" i="17"/>
  <c r="V22" i="17"/>
  <c r="AF22" i="17"/>
  <c r="W22" i="17"/>
  <c r="U29" i="28"/>
  <c r="AG29" i="17" s="1"/>
  <c r="AG22" i="17"/>
  <c r="U9" i="17"/>
  <c r="T9" i="17"/>
  <c r="V9" i="17"/>
  <c r="X9" i="17"/>
  <c r="Y9" i="17"/>
  <c r="M9" i="17"/>
  <c r="Z9" i="17"/>
  <c r="N9" i="17"/>
  <c r="AA9" i="17"/>
  <c r="O9" i="17"/>
  <c r="AB9" i="17"/>
  <c r="AI9" i="17"/>
  <c r="P9" i="17"/>
  <c r="AC9" i="17"/>
  <c r="Q9" i="17"/>
  <c r="AD9" i="17"/>
  <c r="S9" i="17"/>
  <c r="R9" i="17"/>
  <c r="AE9" i="17"/>
  <c r="AH9" i="17"/>
  <c r="W9" i="17"/>
  <c r="AF9" i="17"/>
  <c r="M19" i="17"/>
  <c r="Z19" i="17"/>
  <c r="N19" i="17"/>
  <c r="AA19" i="17"/>
  <c r="O19" i="17"/>
  <c r="AB19" i="17"/>
  <c r="P19" i="17"/>
  <c r="AC19" i="17"/>
  <c r="Q19" i="17"/>
  <c r="AD19" i="17"/>
  <c r="R19" i="17"/>
  <c r="AE19" i="17"/>
  <c r="Y19" i="17"/>
  <c r="S19" i="17"/>
  <c r="AH19" i="17"/>
  <c r="T19" i="17"/>
  <c r="AI19" i="17"/>
  <c r="U19" i="17"/>
  <c r="V19" i="17"/>
  <c r="X19" i="17"/>
  <c r="W19" i="17"/>
  <c r="AF19" i="17"/>
  <c r="U30" i="17"/>
  <c r="V30" i="17"/>
  <c r="X30" i="17"/>
  <c r="S30" i="17"/>
  <c r="T30" i="17"/>
  <c r="Y30" i="17"/>
  <c r="AI30" i="17"/>
  <c r="M30" i="17"/>
  <c r="Z30" i="17"/>
  <c r="N30" i="17"/>
  <c r="AA30" i="17"/>
  <c r="O30" i="17"/>
  <c r="AB30" i="17"/>
  <c r="P30" i="17"/>
  <c r="AC30" i="17"/>
  <c r="AH30" i="17"/>
  <c r="Q30" i="17"/>
  <c r="AD30" i="17"/>
  <c r="R30" i="17"/>
  <c r="AE30" i="17"/>
  <c r="W30" i="17"/>
  <c r="AF30" i="17"/>
  <c r="U24" i="17"/>
  <c r="V24" i="17"/>
  <c r="X24" i="17"/>
  <c r="Y24" i="17"/>
  <c r="AH24" i="17"/>
  <c r="M24" i="17"/>
  <c r="Z24" i="17"/>
  <c r="AI24" i="17"/>
  <c r="N24" i="17"/>
  <c r="AA24" i="17"/>
  <c r="O24" i="17"/>
  <c r="AB24" i="17"/>
  <c r="P24" i="17"/>
  <c r="AC24" i="17"/>
  <c r="Q24" i="17"/>
  <c r="AD24" i="17"/>
  <c r="T24" i="17"/>
  <c r="R24" i="17"/>
  <c r="AE24" i="17"/>
  <c r="S24" i="17"/>
  <c r="W24" i="17"/>
  <c r="AF24" i="17"/>
  <c r="Q23" i="17"/>
  <c r="AD23" i="17"/>
  <c r="P23" i="17"/>
  <c r="R23" i="17"/>
  <c r="AE23" i="17"/>
  <c r="AB23" i="17"/>
  <c r="S23" i="17"/>
  <c r="AH23" i="17"/>
  <c r="T23" i="17"/>
  <c r="AI23" i="17"/>
  <c r="AC23" i="17"/>
  <c r="U23" i="17"/>
  <c r="V23" i="17"/>
  <c r="X23" i="17"/>
  <c r="Y23" i="17"/>
  <c r="M23" i="17"/>
  <c r="Z23" i="17"/>
  <c r="O23" i="17"/>
  <c r="N23" i="17"/>
  <c r="AA23" i="17"/>
  <c r="W23" i="17"/>
  <c r="AF23" i="17"/>
  <c r="U13" i="15"/>
  <c r="U30" i="15"/>
  <c r="Q11" i="17"/>
  <c r="AD11" i="17"/>
  <c r="R11" i="17"/>
  <c r="AE11" i="17"/>
  <c r="S11" i="17"/>
  <c r="AH11" i="17"/>
  <c r="T11" i="17"/>
  <c r="AI11" i="17"/>
  <c r="U11" i="17"/>
  <c r="O11" i="17"/>
  <c r="AB11" i="17"/>
  <c r="V11" i="17"/>
  <c r="P11" i="17"/>
  <c r="X11" i="17"/>
  <c r="AC11" i="17"/>
  <c r="Y11" i="17"/>
  <c r="M11" i="17"/>
  <c r="Z11" i="17"/>
  <c r="N11" i="17"/>
  <c r="AA11" i="17"/>
  <c r="W11" i="17"/>
  <c r="AF11" i="17"/>
  <c r="M7" i="17"/>
  <c r="Z7" i="17"/>
  <c r="N7" i="17"/>
  <c r="AA7" i="17"/>
  <c r="O7" i="17"/>
  <c r="AB7" i="17"/>
  <c r="P7" i="17"/>
  <c r="AC7" i="17"/>
  <c r="Y7" i="17"/>
  <c r="Q7" i="17"/>
  <c r="AD7" i="17"/>
  <c r="R7" i="17"/>
  <c r="AE7" i="17"/>
  <c r="S7" i="17"/>
  <c r="AH7" i="17"/>
  <c r="T7" i="17"/>
  <c r="AI7" i="17"/>
  <c r="X7" i="17"/>
  <c r="U7" i="17"/>
  <c r="V7" i="17"/>
  <c r="AT7" i="17" s="1"/>
  <c r="AU7" i="17" s="1"/>
  <c r="W7" i="17"/>
  <c r="AF7" i="17"/>
  <c r="M31" i="17"/>
  <c r="Z31" i="17"/>
  <c r="N31" i="17"/>
  <c r="AA31" i="17"/>
  <c r="O31" i="17"/>
  <c r="AB31" i="17"/>
  <c r="P31" i="17"/>
  <c r="AC31" i="17"/>
  <c r="X31" i="17"/>
  <c r="Q31" i="17"/>
  <c r="AD31" i="17"/>
  <c r="R31" i="17"/>
  <c r="AE31" i="17"/>
  <c r="S31" i="17"/>
  <c r="AH31" i="17"/>
  <c r="T31" i="17"/>
  <c r="AI31" i="17"/>
  <c r="U31" i="17"/>
  <c r="Y31" i="17"/>
  <c r="V31" i="17"/>
  <c r="AF31" i="17"/>
  <c r="W31" i="17"/>
  <c r="U21" i="17"/>
  <c r="S21" i="17"/>
  <c r="V21" i="17"/>
  <c r="X21" i="17"/>
  <c r="Y21" i="17"/>
  <c r="M21" i="17"/>
  <c r="Z21" i="17"/>
  <c r="N21" i="17"/>
  <c r="AA21" i="17"/>
  <c r="AI21" i="17"/>
  <c r="O21" i="17"/>
  <c r="AB21" i="17"/>
  <c r="AH21" i="17"/>
  <c r="T21" i="17"/>
  <c r="P21" i="17"/>
  <c r="AC21" i="17"/>
  <c r="Q21" i="17"/>
  <c r="AD21" i="17"/>
  <c r="R21" i="17"/>
  <c r="AE21" i="17"/>
  <c r="W21" i="17"/>
  <c r="AF21" i="17"/>
  <c r="Q5" i="17"/>
  <c r="AD5" i="17"/>
  <c r="O5" i="17"/>
  <c r="R5" i="17"/>
  <c r="AE5" i="17"/>
  <c r="AC5" i="17"/>
  <c r="S5" i="17"/>
  <c r="AH5" i="17"/>
  <c r="T5" i="17"/>
  <c r="AI5" i="17"/>
  <c r="U5" i="17"/>
  <c r="V5" i="17"/>
  <c r="AB5" i="17"/>
  <c r="X5" i="17"/>
  <c r="Y5" i="17"/>
  <c r="M5" i="17"/>
  <c r="Z5" i="17"/>
  <c r="P5" i="17"/>
  <c r="N5" i="17"/>
  <c r="AA5" i="17"/>
  <c r="W5" i="17"/>
  <c r="AF5" i="17"/>
  <c r="AG21" i="17"/>
  <c r="M28" i="17"/>
  <c r="Z28" i="17"/>
  <c r="N28" i="17"/>
  <c r="AA28" i="17"/>
  <c r="Y28" i="17"/>
  <c r="O28" i="17"/>
  <c r="AB28" i="17"/>
  <c r="P28" i="17"/>
  <c r="AC28" i="17"/>
  <c r="Q28" i="17"/>
  <c r="AD28" i="17"/>
  <c r="R28" i="17"/>
  <c r="AE28" i="17"/>
  <c r="S28" i="17"/>
  <c r="AH28" i="17"/>
  <c r="T28" i="17"/>
  <c r="AI28" i="17"/>
  <c r="U28" i="17"/>
  <c r="V28" i="17"/>
  <c r="X28" i="17"/>
  <c r="AF28" i="17"/>
  <c r="W28" i="17"/>
  <c r="M25" i="17"/>
  <c r="Z25" i="17"/>
  <c r="N25" i="17"/>
  <c r="AA25" i="17"/>
  <c r="O25" i="17"/>
  <c r="AB25" i="17"/>
  <c r="P25" i="17"/>
  <c r="AC25" i="17"/>
  <c r="Q25" i="17"/>
  <c r="AD25" i="17"/>
  <c r="R25" i="17"/>
  <c r="AE25" i="17"/>
  <c r="S25" i="17"/>
  <c r="AH25" i="17"/>
  <c r="T25" i="17"/>
  <c r="AI25" i="17"/>
  <c r="X25" i="17"/>
  <c r="U25" i="17"/>
  <c r="V25" i="17"/>
  <c r="Y25" i="17"/>
  <c r="W25" i="17"/>
  <c r="AF25" i="17"/>
  <c r="U6" i="17"/>
  <c r="V6" i="17"/>
  <c r="X6" i="17"/>
  <c r="S6" i="17"/>
  <c r="AI6" i="17"/>
  <c r="Y6" i="17"/>
  <c r="M6" i="17"/>
  <c r="Z6" i="17"/>
  <c r="AH6" i="17"/>
  <c r="N6" i="17"/>
  <c r="AA6" i="17"/>
  <c r="T6" i="17"/>
  <c r="O6" i="17"/>
  <c r="AB6" i="17"/>
  <c r="P6" i="17"/>
  <c r="AC6" i="17"/>
  <c r="Q6" i="17"/>
  <c r="AD6" i="17"/>
  <c r="R6" i="17"/>
  <c r="AE6" i="17"/>
  <c r="W6" i="17"/>
  <c r="AF6" i="17"/>
  <c r="M4" i="17"/>
  <c r="Z4" i="17"/>
  <c r="N4" i="17"/>
  <c r="AA4" i="17"/>
  <c r="O4" i="17"/>
  <c r="AB4" i="17"/>
  <c r="P4" i="17"/>
  <c r="AC4" i="17"/>
  <c r="Q4" i="17"/>
  <c r="AD4" i="17"/>
  <c r="R4" i="17"/>
  <c r="AE4" i="17"/>
  <c r="S4" i="17"/>
  <c r="AH4" i="17"/>
  <c r="X4" i="17"/>
  <c r="T4" i="17"/>
  <c r="AI4" i="17"/>
  <c r="U4" i="17"/>
  <c r="V4" i="17"/>
  <c r="Y4" i="17"/>
  <c r="AF4" i="17"/>
  <c r="W4" i="17"/>
  <c r="U24" i="15"/>
  <c r="Q17" i="17"/>
  <c r="AD17" i="17"/>
  <c r="R17" i="17"/>
  <c r="AE17" i="17"/>
  <c r="O17" i="17"/>
  <c r="AC17" i="17"/>
  <c r="S17" i="17"/>
  <c r="AH17" i="17"/>
  <c r="T17" i="17"/>
  <c r="AI17" i="17"/>
  <c r="AB17" i="17"/>
  <c r="U17" i="17"/>
  <c r="V17" i="17"/>
  <c r="X17" i="17"/>
  <c r="Y17" i="17"/>
  <c r="M17" i="17"/>
  <c r="Z17" i="17"/>
  <c r="N17" i="17"/>
  <c r="AA17" i="17"/>
  <c r="P17" i="17"/>
  <c r="W17" i="17"/>
  <c r="AF17" i="17"/>
  <c r="U27" i="15"/>
  <c r="Z4" i="15"/>
  <c r="AX29" i="17"/>
  <c r="AX14" i="17"/>
  <c r="AR22" i="17"/>
  <c r="AX19" i="17"/>
  <c r="AR19" i="17"/>
  <c r="AR21" i="17"/>
  <c r="AX6" i="17"/>
  <c r="AR31" i="17"/>
  <c r="AR4" i="17"/>
  <c r="AX18" i="17"/>
  <c r="AX15" i="17"/>
  <c r="AX20" i="17"/>
  <c r="AR26" i="17"/>
  <c r="AX22" i="17"/>
  <c r="AR9" i="17"/>
  <c r="AX24" i="17"/>
  <c r="AR17" i="17"/>
  <c r="AX4" i="17"/>
  <c r="AR32" i="17"/>
  <c r="AX31" i="17"/>
  <c r="AX12" i="17"/>
  <c r="AR7" i="17"/>
  <c r="AX26" i="17"/>
  <c r="AX30" i="17"/>
  <c r="AX17" i="17"/>
  <c r="AR18" i="17"/>
  <c r="AR8" i="17"/>
  <c r="AX7" i="17"/>
  <c r="AR6" i="17"/>
  <c r="AR11" i="17"/>
  <c r="AR23" i="17"/>
  <c r="AR25" i="17"/>
  <c r="AR15" i="17"/>
  <c r="AR29" i="17"/>
  <c r="AX32" i="17"/>
  <c r="AX27" i="17"/>
  <c r="AX25" i="17"/>
  <c r="AR10" i="17"/>
  <c r="AR14" i="17"/>
  <c r="AX9" i="17"/>
  <c r="AR24" i="17"/>
  <c r="AX21" i="17"/>
  <c r="AR28" i="17"/>
  <c r="AX10" i="17"/>
  <c r="AR12" i="17"/>
  <c r="AX16" i="17"/>
  <c r="AR16" i="17"/>
  <c r="AX8" i="17"/>
  <c r="AR20" i="17"/>
  <c r="AX13" i="17"/>
  <c r="AR13" i="17"/>
  <c r="AR30" i="17"/>
  <c r="AX23" i="17"/>
  <c r="AX11" i="17"/>
  <c r="AR5" i="17"/>
  <c r="AX28" i="17"/>
  <c r="AR27" i="17"/>
  <c r="AX5" i="17"/>
  <c r="AJ19" i="17" l="1"/>
  <c r="AK19" i="17" s="1"/>
  <c r="AT30" i="17"/>
  <c r="AU30" i="17" s="1"/>
  <c r="AT6" i="17"/>
  <c r="AU6" i="17" s="1"/>
  <c r="AT19" i="17"/>
  <c r="AU19" i="17" s="1"/>
  <c r="AJ21" i="17"/>
  <c r="AK21" i="17" s="1"/>
  <c r="AJ5" i="17"/>
  <c r="AK5" i="17" s="1"/>
  <c r="AT11" i="17"/>
  <c r="AU11" i="17" s="1"/>
  <c r="AT8" i="17"/>
  <c r="AU8" i="17" s="1"/>
  <c r="AT13" i="17"/>
  <c r="AU13" i="17" s="1"/>
  <c r="AJ15" i="17"/>
  <c r="AK15" i="17" s="1"/>
  <c r="AT23" i="17"/>
  <c r="AU23" i="17" s="1"/>
  <c r="AT29" i="17"/>
  <c r="AU29" i="17" s="1"/>
  <c r="AT10" i="17"/>
  <c r="AU10" i="17" s="1"/>
  <c r="AY5" i="17"/>
  <c r="BB5" i="17" s="1"/>
  <c r="BC5" i="17" s="1"/>
  <c r="AS27" i="17"/>
  <c r="AY28" i="17"/>
  <c r="BB28" i="17" s="1"/>
  <c r="BC28" i="17" s="1"/>
  <c r="AS5" i="17"/>
  <c r="AY11" i="17"/>
  <c r="BB11" i="17" s="1"/>
  <c r="BC11" i="17" s="1"/>
  <c r="AY23" i="17"/>
  <c r="BB23" i="17" s="1"/>
  <c r="BC23" i="17" s="1"/>
  <c r="AS30" i="17"/>
  <c r="AS13" i="17"/>
  <c r="AY13" i="17"/>
  <c r="BB13" i="17" s="1"/>
  <c r="BC13" i="17" s="1"/>
  <c r="AS20" i="17"/>
  <c r="AY8" i="17"/>
  <c r="BB8" i="17" s="1"/>
  <c r="BC8" i="17" s="1"/>
  <c r="AS16" i="17"/>
  <c r="AY16" i="17"/>
  <c r="BB16" i="17" s="1"/>
  <c r="BC16" i="17" s="1"/>
  <c r="AS12" i="17"/>
  <c r="AY10" i="17"/>
  <c r="BB10" i="17" s="1"/>
  <c r="BC10" i="17" s="1"/>
  <c r="AS28" i="17"/>
  <c r="AY21" i="17"/>
  <c r="BB21" i="17" s="1"/>
  <c r="BC21" i="17" s="1"/>
  <c r="AS24" i="17"/>
  <c r="AY9" i="17"/>
  <c r="BB9" i="17" s="1"/>
  <c r="BC9" i="17" s="1"/>
  <c r="AS14" i="17"/>
  <c r="AS10" i="17"/>
  <c r="AY25" i="17"/>
  <c r="BB25" i="17" s="1"/>
  <c r="BC25" i="17" s="1"/>
  <c r="AY27" i="17"/>
  <c r="BB27" i="17" s="1"/>
  <c r="BC27" i="17" s="1"/>
  <c r="AY32" i="17"/>
  <c r="BB32" i="17" s="1"/>
  <c r="BC32" i="17" s="1"/>
  <c r="AS29" i="17"/>
  <c r="AS15" i="17"/>
  <c r="AS25" i="17"/>
  <c r="AS23" i="17"/>
  <c r="AS11" i="17"/>
  <c r="AS6" i="17"/>
  <c r="AY7" i="17"/>
  <c r="BB7" i="17" s="1"/>
  <c r="BC7" i="17" s="1"/>
  <c r="AS8" i="17"/>
  <c r="AS18" i="17"/>
  <c r="AY17" i="17"/>
  <c r="BB17" i="17" s="1"/>
  <c r="BC17" i="17" s="1"/>
  <c r="AY30" i="17"/>
  <c r="BB30" i="17" s="1"/>
  <c r="BC30" i="17" s="1"/>
  <c r="AY26" i="17"/>
  <c r="BB26" i="17" s="1"/>
  <c r="BC26" i="17" s="1"/>
  <c r="AS7" i="17"/>
  <c r="AY12" i="17"/>
  <c r="BB12" i="17" s="1"/>
  <c r="BC12" i="17" s="1"/>
  <c r="AY31" i="17"/>
  <c r="BB31" i="17" s="1"/>
  <c r="BC31" i="17" s="1"/>
  <c r="AS32" i="17"/>
  <c r="AY4" i="17"/>
  <c r="BB4" i="17" s="1"/>
  <c r="BC4" i="17" s="1"/>
  <c r="AS17" i="17"/>
  <c r="AY24" i="17"/>
  <c r="BB24" i="17" s="1"/>
  <c r="BC24" i="17" s="1"/>
  <c r="AS9" i="17"/>
  <c r="AY22" i="17"/>
  <c r="BB22" i="17" s="1"/>
  <c r="BC22" i="17" s="1"/>
  <c r="AS26" i="17"/>
  <c r="AY20" i="17"/>
  <c r="BB20" i="17" s="1"/>
  <c r="BC20" i="17" s="1"/>
  <c r="AY15" i="17"/>
  <c r="BB15" i="17" s="1"/>
  <c r="BC15" i="17" s="1"/>
  <c r="AY18" i="17"/>
  <c r="BB18" i="17" s="1"/>
  <c r="BC18" i="17" s="1"/>
  <c r="AS4" i="17"/>
  <c r="AS31" i="17"/>
  <c r="AY6" i="17"/>
  <c r="BB6" i="17" s="1"/>
  <c r="BC6" i="17" s="1"/>
  <c r="AS21" i="17"/>
  <c r="AS19" i="17"/>
  <c r="AY19" i="17"/>
  <c r="BB19" i="17" s="1"/>
  <c r="BC19" i="17" s="1"/>
  <c r="AS22" i="17"/>
  <c r="AY14" i="17"/>
  <c r="BB14" i="17" s="1"/>
  <c r="BC14" i="17" s="1"/>
  <c r="AY29" i="17"/>
  <c r="BB29" i="17" s="1"/>
  <c r="BC29" i="17" s="1"/>
  <c r="AT22" i="17"/>
  <c r="AU22" i="17" s="1"/>
  <c r="AJ27" i="17"/>
  <c r="AT18" i="17"/>
  <c r="AU18" i="17" s="1"/>
  <c r="AJ7" i="17"/>
  <c r="AJ30" i="17"/>
  <c r="AT14" i="17"/>
  <c r="AU14" i="17" s="1"/>
  <c r="AJ12" i="17"/>
  <c r="AJ20" i="17"/>
  <c r="AJ16" i="17"/>
  <c r="AJ28" i="17"/>
  <c r="AJ24" i="17"/>
  <c r="AJ10" i="17"/>
  <c r="AN5" i="17"/>
  <c r="AZ5" i="17" s="1"/>
  <c r="BA5" i="17" s="1"/>
  <c r="AT9" i="17"/>
  <c r="AU9" i="17" s="1"/>
  <c r="AT16" i="17"/>
  <c r="AU16" i="17" s="1"/>
  <c r="AT15" i="17"/>
  <c r="AU15" i="17" s="1"/>
  <c r="AT28" i="17"/>
  <c r="AU28" i="17" s="1"/>
  <c r="AN19" i="17"/>
  <c r="AO19" i="17" s="1"/>
  <c r="AJ6" i="17"/>
  <c r="AT21" i="17"/>
  <c r="AU21" i="17" s="1"/>
  <c r="AJ8" i="17"/>
  <c r="AJ29" i="17"/>
  <c r="AJ14" i="17"/>
  <c r="AJ18" i="17"/>
  <c r="AT17" i="17"/>
  <c r="AU17" i="17" s="1"/>
  <c r="AT25" i="17"/>
  <c r="AU25" i="17" s="1"/>
  <c r="AJ11" i="17"/>
  <c r="AJ23" i="17"/>
  <c r="AT27" i="17"/>
  <c r="AU27" i="17" s="1"/>
  <c r="AT26" i="17"/>
  <c r="AU26" i="17" s="1"/>
  <c r="AT32" i="17"/>
  <c r="AU32" i="17" s="1"/>
  <c r="AJ13" i="17"/>
  <c r="AJ32" i="17"/>
  <c r="AJ26" i="17"/>
  <c r="AT12" i="17"/>
  <c r="AU12" i="17" s="1"/>
  <c r="AJ4" i="17"/>
  <c r="AJ31" i="17"/>
  <c r="AJ9" i="17"/>
  <c r="AT4" i="17"/>
  <c r="AU4" i="17" s="1"/>
  <c r="AT5" i="17"/>
  <c r="AU5" i="17" s="1"/>
  <c r="AT31" i="17"/>
  <c r="AU31" i="17" s="1"/>
  <c r="AT24" i="17"/>
  <c r="AU24" i="17" s="1"/>
  <c r="AJ22" i="17"/>
  <c r="AT20" i="17"/>
  <c r="AU20" i="17" s="1"/>
  <c r="AJ25" i="17"/>
  <c r="AJ17" i="17"/>
  <c r="F3" i="17"/>
  <c r="Z4" i="28"/>
  <c r="B14" i="14"/>
  <c r="BD5" i="17"/>
  <c r="AN15" i="17" l="1"/>
  <c r="AO15" i="17" s="1"/>
  <c r="AZ19" i="17"/>
  <c r="BA19" i="17" s="1"/>
  <c r="AN21" i="17"/>
  <c r="AO21" i="17" s="1"/>
  <c r="AZ15" i="17"/>
  <c r="BA15" i="17" s="1"/>
  <c r="AV5" i="17"/>
  <c r="AN30" i="17"/>
  <c r="AK30" i="17"/>
  <c r="AN16" i="17"/>
  <c r="AK16" i="17"/>
  <c r="AN8" i="17"/>
  <c r="AK8" i="17"/>
  <c r="AN31" i="17"/>
  <c r="AK31" i="17"/>
  <c r="AN4" i="17"/>
  <c r="AK4" i="17"/>
  <c r="AN22" i="17"/>
  <c r="AK22" i="17"/>
  <c r="AN10" i="17"/>
  <c r="AK10" i="17"/>
  <c r="AK11" i="17"/>
  <c r="AN11" i="17"/>
  <c r="AN6" i="17"/>
  <c r="AK6" i="17"/>
  <c r="AN27" i="17"/>
  <c r="AK27" i="17"/>
  <c r="AN26" i="17"/>
  <c r="AK26" i="17"/>
  <c r="AK23" i="17"/>
  <c r="AN23" i="17"/>
  <c r="AN20" i="17"/>
  <c r="AK20" i="17"/>
  <c r="AN12" i="17"/>
  <c r="AK12" i="17"/>
  <c r="AN32" i="17"/>
  <c r="AK32" i="17"/>
  <c r="AN24" i="17"/>
  <c r="AK24" i="17"/>
  <c r="AN18" i="17"/>
  <c r="AK18" i="17"/>
  <c r="AN28" i="17"/>
  <c r="AK28" i="17"/>
  <c r="AO5" i="17"/>
  <c r="AK17" i="17"/>
  <c r="AN17" i="17"/>
  <c r="AK9" i="17"/>
  <c r="AN9" i="17"/>
  <c r="AK13" i="17"/>
  <c r="AN13" i="17"/>
  <c r="AK14" i="17"/>
  <c r="AN14" i="17"/>
  <c r="AK25" i="17"/>
  <c r="AN25" i="17"/>
  <c r="AK7" i="17"/>
  <c r="AN7" i="17"/>
  <c r="AK29" i="17"/>
  <c r="AN29" i="17"/>
  <c r="N3" i="28"/>
  <c r="L3" i="28"/>
  <c r="V3" i="28" s="1"/>
  <c r="J3" i="28"/>
  <c r="I3" i="28"/>
  <c r="I3" i="15"/>
  <c r="J3" i="15"/>
  <c r="BD19" i="17"/>
  <c r="BD15" i="17"/>
  <c r="AV19" i="17" l="1"/>
  <c r="AZ21" i="17"/>
  <c r="BA21" i="17" s="1"/>
  <c r="AV15" i="17"/>
  <c r="AO20" i="17"/>
  <c r="AZ20" i="17"/>
  <c r="BA20" i="17" s="1"/>
  <c r="AZ31" i="17"/>
  <c r="BA31" i="17" s="1"/>
  <c r="AO31" i="17"/>
  <c r="AZ14" i="17"/>
  <c r="BA14" i="17" s="1"/>
  <c r="AO14" i="17"/>
  <c r="AO28" i="17"/>
  <c r="AZ28" i="17"/>
  <c r="BA28" i="17" s="1"/>
  <c r="AO13" i="17"/>
  <c r="AZ13" i="17"/>
  <c r="BA13" i="17" s="1"/>
  <c r="AO18" i="17"/>
  <c r="AZ18" i="17"/>
  <c r="BA18" i="17" s="1"/>
  <c r="AO22" i="17"/>
  <c r="AZ22" i="17"/>
  <c r="BA22" i="17" s="1"/>
  <c r="AO8" i="17"/>
  <c r="AZ8" i="17"/>
  <c r="BA8" i="17" s="1"/>
  <c r="AZ24" i="17"/>
  <c r="BA24" i="17" s="1"/>
  <c r="AO24" i="17"/>
  <c r="AO26" i="17"/>
  <c r="AZ26" i="17"/>
  <c r="BA26" i="17" s="1"/>
  <c r="AZ10" i="17"/>
  <c r="BA10" i="17" s="1"/>
  <c r="AO10" i="17"/>
  <c r="AZ23" i="17"/>
  <c r="BA23" i="17" s="1"/>
  <c r="AO23" i="17"/>
  <c r="AZ29" i="17"/>
  <c r="BA29" i="17" s="1"/>
  <c r="AO29" i="17"/>
  <c r="AO9" i="17"/>
  <c r="AZ9" i="17"/>
  <c r="BA9" i="17" s="1"/>
  <c r="AZ32" i="17"/>
  <c r="BA32" i="17" s="1"/>
  <c r="AZ27" i="17"/>
  <c r="BA27" i="17" s="1"/>
  <c r="AO27" i="17"/>
  <c r="AZ16" i="17"/>
  <c r="BA16" i="17" s="1"/>
  <c r="AO16" i="17"/>
  <c r="AO7" i="17"/>
  <c r="AZ7" i="17"/>
  <c r="BA7" i="17" s="1"/>
  <c r="AO17" i="17"/>
  <c r="AZ17" i="17"/>
  <c r="BA17" i="17" s="1"/>
  <c r="AO4" i="17"/>
  <c r="AZ4" i="17"/>
  <c r="BA4" i="17" s="1"/>
  <c r="AZ6" i="17"/>
  <c r="BA6" i="17" s="1"/>
  <c r="AO6" i="17"/>
  <c r="AO30" i="17"/>
  <c r="AZ30" i="17"/>
  <c r="BA30" i="17" s="1"/>
  <c r="AO25" i="17"/>
  <c r="AZ25" i="17"/>
  <c r="BA25" i="17" s="1"/>
  <c r="AO12" i="17"/>
  <c r="AZ12" i="17"/>
  <c r="BA12" i="17" s="1"/>
  <c r="AO11" i="17"/>
  <c r="AZ11" i="17"/>
  <c r="BA11" i="17" s="1"/>
  <c r="M3" i="28"/>
  <c r="W3" i="28" s="1"/>
  <c r="F18" i="14"/>
  <c r="F4" i="17" s="1"/>
  <c r="BD21" i="17"/>
  <c r="BD20" i="17"/>
  <c r="BD26" i="17"/>
  <c r="BD17" i="17"/>
  <c r="BD31" i="17"/>
  <c r="BD27" i="17"/>
  <c r="BD12" i="17"/>
  <c r="BD22" i="17"/>
  <c r="BD23" i="17"/>
  <c r="BD13" i="17"/>
  <c r="BD18" i="17"/>
  <c r="BD32" i="17"/>
  <c r="BD10" i="17"/>
  <c r="BD4" i="17"/>
  <c r="BD14" i="17"/>
  <c r="BD6" i="17"/>
  <c r="BD16" i="17"/>
  <c r="BD9" i="17"/>
  <c r="BD11" i="17"/>
  <c r="BD28" i="17"/>
  <c r="BD7" i="17"/>
  <c r="BD25" i="17"/>
  <c r="BD8" i="17"/>
  <c r="BD29" i="17"/>
  <c r="BD24" i="17"/>
  <c r="BD30" i="17"/>
  <c r="AV21" i="17" l="1"/>
  <c r="AV30" i="17"/>
  <c r="AV24" i="17"/>
  <c r="AV29" i="17"/>
  <c r="AV8" i="17"/>
  <c r="AV25" i="17"/>
  <c r="AV7" i="17"/>
  <c r="AV28" i="17"/>
  <c r="AV11" i="17"/>
  <c r="AV9" i="17"/>
  <c r="AV16" i="17"/>
  <c r="AV6" i="17"/>
  <c r="AV14" i="17"/>
  <c r="AV4" i="17"/>
  <c r="AV10" i="17"/>
  <c r="AV32" i="17"/>
  <c r="AV18" i="17"/>
  <c r="AV13" i="17"/>
  <c r="AV23" i="17"/>
  <c r="AV22" i="17"/>
  <c r="AV12" i="17"/>
  <c r="AV27" i="17"/>
  <c r="AV31" i="17"/>
  <c r="AV17" i="17"/>
  <c r="AV26" i="17"/>
  <c r="AV20" i="17"/>
  <c r="AL11" i="17"/>
  <c r="AM11" i="17" s="1"/>
  <c r="AW11" i="17" s="1"/>
  <c r="AL15" i="17"/>
  <c r="AM15" i="17" s="1"/>
  <c r="AW15" i="17" s="1"/>
  <c r="AL23" i="17"/>
  <c r="AM23" i="17" s="1"/>
  <c r="AW23" i="17" s="1"/>
  <c r="AL20" i="17"/>
  <c r="AM20" i="17" s="1"/>
  <c r="AW20" i="17" s="1"/>
  <c r="AL17" i="17"/>
  <c r="AM17" i="17" s="1"/>
  <c r="AW17" i="17" s="1"/>
  <c r="AL7" i="17"/>
  <c r="AM7" i="17" s="1"/>
  <c r="AW7" i="17" s="1"/>
  <c r="AL26" i="17"/>
  <c r="AM26" i="17" s="1"/>
  <c r="AW26" i="17" s="1"/>
  <c r="AL27" i="17"/>
  <c r="AM27" i="17" s="1"/>
  <c r="AW27" i="17" s="1"/>
  <c r="AL10" i="17"/>
  <c r="AM10" i="17" s="1"/>
  <c r="AW10" i="17" s="1"/>
  <c r="AL29" i="17"/>
  <c r="AM29" i="17" s="1"/>
  <c r="AW29" i="17" s="1"/>
  <c r="AL19" i="17"/>
  <c r="AM19" i="17" s="1"/>
  <c r="AW19" i="17" s="1"/>
  <c r="AL30" i="17"/>
  <c r="AM30" i="17" s="1"/>
  <c r="AW30" i="17" s="1"/>
  <c r="AL28" i="17"/>
  <c r="AM28" i="17" s="1"/>
  <c r="AW28" i="17" s="1"/>
  <c r="AL12" i="17"/>
  <c r="AM12" i="17" s="1"/>
  <c r="AW12" i="17" s="1"/>
  <c r="AL31" i="17"/>
  <c r="AM31" i="17" s="1"/>
  <c r="AW31" i="17" s="1"/>
  <c r="AL22" i="17"/>
  <c r="AM22" i="17" s="1"/>
  <c r="AW22" i="17" s="1"/>
  <c r="AL18" i="17"/>
  <c r="AM18" i="17" s="1"/>
  <c r="AW18" i="17" s="1"/>
  <c r="AL13" i="17"/>
  <c r="AM13" i="17" s="1"/>
  <c r="AW13" i="17" s="1"/>
  <c r="AL21" i="17"/>
  <c r="AM21" i="17" s="1"/>
  <c r="AW21" i="17" s="1"/>
  <c r="AL32" i="17"/>
  <c r="AM32" i="17" s="1"/>
  <c r="AW32" i="17" s="1"/>
  <c r="AL16" i="17"/>
  <c r="AM16" i="17" s="1"/>
  <c r="AW16" i="17" s="1"/>
  <c r="AL24" i="17"/>
  <c r="AM24" i="17" s="1"/>
  <c r="AW24" i="17" s="1"/>
  <c r="AL9" i="17"/>
  <c r="AM9" i="17" s="1"/>
  <c r="AW9" i="17" s="1"/>
  <c r="AL6" i="17"/>
  <c r="AM6" i="17" s="1"/>
  <c r="AW6" i="17" s="1"/>
  <c r="AL5" i="17"/>
  <c r="AM5" i="17" s="1"/>
  <c r="AW5" i="17" s="1"/>
  <c r="AL14" i="17"/>
  <c r="AM14" i="17" s="1"/>
  <c r="AW14" i="17" s="1"/>
  <c r="AL25" i="17"/>
  <c r="AM25" i="17" s="1"/>
  <c r="AW25" i="17" s="1"/>
  <c r="AL8" i="17"/>
  <c r="AM8" i="17" s="1"/>
  <c r="AW8" i="17" s="1"/>
  <c r="AL4" i="17"/>
  <c r="AM4" i="17" s="1"/>
  <c r="AW4" i="17" s="1"/>
  <c r="P3" i="28"/>
  <c r="S3" i="28" s="1"/>
  <c r="O3" i="28"/>
  <c r="T3" i="28" s="1"/>
  <c r="Q3" i="28"/>
  <c r="R3" i="28" l="1"/>
  <c r="U3" i="28"/>
  <c r="L3" i="15" l="1"/>
  <c r="M3" i="15" l="1"/>
  <c r="V3" i="15"/>
  <c r="P3" i="15" l="1"/>
  <c r="W3" i="15"/>
  <c r="Q3" i="15"/>
  <c r="N3" i="15"/>
  <c r="S3" i="17" l="1"/>
  <c r="AH3" i="17"/>
  <c r="T3" i="17"/>
  <c r="AI3" i="17"/>
  <c r="Z3" i="17"/>
  <c r="U3" i="17"/>
  <c r="V3" i="17"/>
  <c r="X3" i="17"/>
  <c r="AB3" i="17"/>
  <c r="AC3" i="17"/>
  <c r="Y3" i="17"/>
  <c r="O3" i="17"/>
  <c r="P3" i="17"/>
  <c r="Q3" i="17"/>
  <c r="R3" i="17"/>
  <c r="W3" i="17"/>
  <c r="M3" i="17"/>
  <c r="N3" i="17"/>
  <c r="O3" i="15"/>
  <c r="AA3" i="17" s="1"/>
  <c r="S3" i="15"/>
  <c r="AE3" i="17" s="1"/>
  <c r="O4" i="14"/>
  <c r="R3" i="15" l="1"/>
  <c r="AD3" i="17" s="1"/>
  <c r="AX3" i="17"/>
  <c r="F19" i="14" l="1"/>
  <c r="F5" i="17" s="1"/>
  <c r="T3" i="15" l="1"/>
  <c r="AF3" i="17" s="1"/>
  <c r="AR3" i="17"/>
  <c r="AT3" i="17" l="1"/>
  <c r="AJ3" i="17"/>
  <c r="AY3" i="17"/>
  <c r="BB3" i="17" s="1"/>
  <c r="U3" i="15"/>
  <c r="AG3" i="17" s="1"/>
  <c r="AN3" i="17" l="1"/>
  <c r="AK3" i="17"/>
  <c r="AL3" i="17" s="1"/>
  <c r="AM3" i="17" s="1"/>
  <c r="AW3" i="17" s="1"/>
  <c r="BC3" i="17"/>
  <c r="AS3" i="17"/>
  <c r="AU3" i="17"/>
  <c r="AO3" i="17" l="1"/>
  <c r="B6" i="17" s="1"/>
  <c r="AZ3" i="17" l="1"/>
  <c r="BA3" i="17" s="1"/>
  <c r="BD3" i="17"/>
  <c r="AV3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Álvarez</author>
  </authors>
  <commentList>
    <comment ref="E17" authorId="0" shapeId="0" xr:uid="{B937EC3A-2256-4CCE-A20F-F4727B492A19}">
      <text>
        <r>
          <rPr>
            <b/>
            <sz val="9"/>
            <color indexed="81"/>
            <rFont val="Tahoma"/>
            <family val="2"/>
          </rPr>
          <t>Manuel Álvarez:</t>
        </r>
        <r>
          <rPr>
            <sz val="9"/>
            <color indexed="81"/>
            <rFont val="Tahoma"/>
            <family val="2"/>
          </rPr>
          <t xml:space="preserve">
Particle Reynolds number</t>
        </r>
      </text>
    </comment>
    <comment ref="E20" authorId="0" shapeId="0" xr:uid="{7CA1EA1A-578A-4232-8A40-C9687AF5BFF3}">
      <text>
        <r>
          <rPr>
            <b/>
            <sz val="9"/>
            <color indexed="81"/>
            <rFont val="Tahoma"/>
            <family val="2"/>
          </rPr>
          <t>Manuel Álvarez:</t>
        </r>
        <r>
          <rPr>
            <sz val="9"/>
            <color indexed="81"/>
            <rFont val="Tahoma"/>
            <family val="2"/>
          </rPr>
          <t xml:space="preserve">
Sediment submerged specific gravity</t>
        </r>
      </text>
    </comment>
    <comment ref="E22" authorId="0" shapeId="0" xr:uid="{1C6563D4-0491-4F9C-845B-ABD76119585F}">
      <text>
        <r>
          <rPr>
            <b/>
            <sz val="9"/>
            <color indexed="81"/>
            <rFont val="Tahoma"/>
            <family val="2"/>
          </rPr>
          <t>Manuel Álvarez:</t>
        </r>
        <r>
          <rPr>
            <sz val="9"/>
            <color indexed="81"/>
            <rFont val="Tahoma"/>
            <family val="2"/>
          </rPr>
          <t xml:space="preserve">
Porosity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Manuel Álvarez</author>
  </authors>
  <commentList>
    <comment ref="AL2" authorId="0" shapeId="0" xr:uid="{2C17032C-2EBB-4FE9-8D97-380FB0F17881}">
      <text>
        <r>
          <rPr>
            <b/>
            <sz val="9"/>
            <color indexed="81"/>
            <rFont val="Tahoma"/>
            <family val="2"/>
          </rPr>
          <t>Manuel Álvarez:</t>
        </r>
        <r>
          <rPr>
            <sz val="9"/>
            <color indexed="81"/>
            <rFont val="Tahoma"/>
            <family val="2"/>
          </rPr>
          <t xml:space="preserve">
Einstein parameter</t>
        </r>
      </text>
    </comment>
    <comment ref="E7" authorId="0" shapeId="0" xr:uid="{BFA4CCF7-8691-4119-9D89-7F0B7D5977BA}">
      <text>
        <r>
          <rPr>
            <b/>
            <sz val="9"/>
            <color indexed="81"/>
            <rFont val="Tahoma"/>
            <family val="2"/>
          </rPr>
          <t>Manuel Álvarez:</t>
        </r>
        <r>
          <rPr>
            <sz val="9"/>
            <color indexed="81"/>
            <rFont val="Tahoma"/>
            <family val="2"/>
          </rPr>
          <t xml:space="preserve">
Porosity</t>
        </r>
      </text>
    </comment>
    <comment ref="E8" authorId="0" shapeId="0" xr:uid="{328FF3B3-17F8-4443-959E-001A229E34DC}">
      <text>
        <r>
          <rPr>
            <b/>
            <sz val="9"/>
            <color indexed="81"/>
            <rFont val="Tahoma"/>
            <family val="2"/>
          </rPr>
          <t>Manuel Álvarez:</t>
        </r>
        <r>
          <rPr>
            <sz val="9"/>
            <color indexed="81"/>
            <rFont val="Tahoma"/>
            <family val="2"/>
          </rPr>
          <t xml:space="preserve">
Particle Reynolds number</t>
        </r>
      </text>
    </comment>
  </commentList>
</comments>
</file>

<file path=xl/sharedStrings.xml><?xml version="1.0" encoding="utf-8"?>
<sst xmlns="http://schemas.openxmlformats.org/spreadsheetml/2006/main" count="210" uniqueCount="109">
  <si>
    <t>ID</t>
  </si>
  <si>
    <t>x (m)</t>
  </si>
  <si>
    <t>z (masl)</t>
  </si>
  <si>
    <t>h (m)</t>
  </si>
  <si>
    <t>P (m)</t>
  </si>
  <si>
    <t>T (m)</t>
  </si>
  <si>
    <t>z + h (masl)</t>
  </si>
  <si>
    <t>g =</t>
  </si>
  <si>
    <t>m</t>
  </si>
  <si>
    <t>masl</t>
  </si>
  <si>
    <t>n =</t>
  </si>
  <si>
    <r>
      <t>m/s</t>
    </r>
    <r>
      <rPr>
        <vertAlign val="superscript"/>
        <sz val="10"/>
        <color theme="1"/>
        <rFont val="Arial"/>
        <family val="2"/>
      </rPr>
      <t>2</t>
    </r>
  </si>
  <si>
    <t>v (m/s)</t>
  </si>
  <si>
    <r>
      <t>kg/m</t>
    </r>
    <r>
      <rPr>
        <vertAlign val="superscript"/>
        <sz val="10"/>
        <color theme="1"/>
        <rFont val="Arial"/>
        <family val="2"/>
      </rPr>
      <t>3</t>
    </r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</si>
  <si>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</t>
    </r>
  </si>
  <si>
    <r>
      <rPr>
        <sz val="10"/>
        <color theme="1"/>
        <rFont val="Arial"/>
        <family val="2"/>
      </rPr>
      <t>ρ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 =</t>
    </r>
  </si>
  <si>
    <r>
      <rPr>
        <sz val="10"/>
        <color theme="1"/>
        <rFont val="Arial"/>
        <family val="2"/>
      </rPr>
      <t>ρ</t>
    </r>
    <r>
      <rPr>
        <vertAlign val="subscript"/>
        <sz val="10"/>
        <color theme="1"/>
        <rFont val="Arial"/>
        <family val="2"/>
      </rPr>
      <t>w</t>
    </r>
    <r>
      <rPr>
        <sz val="10"/>
        <color theme="1"/>
        <rFont val="Arial"/>
        <family val="2"/>
      </rPr>
      <t xml:space="preserve"> =</t>
    </r>
  </si>
  <si>
    <r>
      <t>z</t>
    </r>
    <r>
      <rPr>
        <vertAlign val="sub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 xml:space="preserve"> =</t>
    </r>
  </si>
  <si>
    <r>
      <t>d</t>
    </r>
    <r>
      <rPr>
        <vertAlign val="subscript"/>
        <sz val="10"/>
        <color theme="1"/>
        <rFont val="Arial"/>
        <family val="2"/>
      </rPr>
      <t>50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</si>
  <si>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perscript"/>
        <sz val="10"/>
        <color theme="1"/>
        <rFont val="Arial"/>
        <family val="2"/>
      </rPr>
      <t>1/3</t>
    </r>
    <r>
      <rPr>
        <sz val="10"/>
        <color theme="1"/>
        <rFont val="Arial"/>
        <family val="2"/>
      </rPr>
      <t>/s</t>
    </r>
  </si>
  <si>
    <r>
      <t>A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</si>
  <si>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R</t>
    </r>
    <r>
      <rPr>
        <vertAlign val="subscript"/>
        <sz val="10"/>
        <color theme="1"/>
        <rFont val="Arial"/>
        <family val="2"/>
      </rPr>
      <t>h</t>
    </r>
    <r>
      <rPr>
        <sz val="10"/>
        <color theme="1"/>
        <rFont val="Arial"/>
        <family val="2"/>
      </rPr>
      <t xml:space="preserve"> (m)</t>
    </r>
  </si>
  <si>
    <r>
      <t>S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 (m/m)</t>
    </r>
  </si>
  <si>
    <r>
      <t>z + h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(masl)</t>
    </r>
  </si>
  <si>
    <r>
      <t>z + h</t>
    </r>
    <r>
      <rPr>
        <vertAlign val="subscript"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 (masl)</t>
    </r>
  </si>
  <si>
    <r>
      <rPr>
        <sz val="10"/>
        <color theme="1"/>
        <rFont val="Calibri"/>
        <family val="2"/>
      </rPr>
      <t>ν</t>
    </r>
    <r>
      <rPr>
        <sz val="10"/>
        <color theme="1"/>
        <rFont val="Arial"/>
        <family val="2"/>
      </rPr>
      <t xml:space="preserve"> =</t>
    </r>
  </si>
  <si>
    <r>
      <t>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/s</t>
    </r>
  </si>
  <si>
    <t>R =</t>
  </si>
  <si>
    <t>ϕ =</t>
  </si>
  <si>
    <t>°</t>
  </si>
  <si>
    <t>C (m/s)</t>
  </si>
  <si>
    <r>
      <t>h</t>
    </r>
    <r>
      <rPr>
        <vertAlign val="subscript"/>
        <sz val="10"/>
        <color theme="1"/>
        <rFont val="Arial"/>
        <family val="2"/>
      </rPr>
      <t>bar</t>
    </r>
    <r>
      <rPr>
        <sz val="10"/>
        <color theme="1"/>
        <rFont val="Arial"/>
        <family val="2"/>
      </rPr>
      <t xml:space="preserve"> (m)</t>
    </r>
  </si>
  <si>
    <t>m/s</t>
  </si>
  <si>
    <r>
      <t>F</t>
    </r>
    <r>
      <rPr>
        <vertAlign val="subscript"/>
        <sz val="10"/>
        <color theme="1"/>
        <rFont val="Arial"/>
        <family val="2"/>
      </rPr>
      <t>obj</t>
    </r>
    <r>
      <rPr>
        <vertAlign val="superscript"/>
        <sz val="10"/>
        <color theme="1"/>
        <rFont val="Arial"/>
        <family val="2"/>
      </rPr>
      <t>2</t>
    </r>
  </si>
  <si>
    <t>Fr</t>
  </si>
  <si>
    <t>H (masl)</t>
  </si>
  <si>
    <t>Sediment</t>
  </si>
  <si>
    <r>
      <t>M (m</t>
    </r>
    <r>
      <rPr>
        <vertAlign val="superscript"/>
        <sz val="10"/>
        <color theme="1"/>
        <rFont val="Arial"/>
        <family val="2"/>
      </rPr>
      <t>4</t>
    </r>
    <r>
      <rPr>
        <sz val="10"/>
        <color theme="1"/>
        <rFont val="Arial"/>
        <family val="2"/>
      </rPr>
      <t>/s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</si>
  <si>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q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>*</t>
    </r>
  </si>
  <si>
    <t>Section</t>
  </si>
  <si>
    <r>
      <rPr>
        <sz val="10"/>
        <color theme="1"/>
        <rFont val="Calibri"/>
        <family val="2"/>
      </rPr>
      <t>Δ</t>
    </r>
    <r>
      <rPr>
        <sz val="10"/>
        <color theme="1"/>
        <rFont val="Arial"/>
        <family val="2"/>
      </rPr>
      <t>x (m)</t>
    </r>
  </si>
  <si>
    <t>From (m)</t>
  </si>
  <si>
    <t>To (m)</t>
  </si>
  <si>
    <r>
      <t>S</t>
    </r>
    <r>
      <rPr>
        <vertAlign val="sub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 xml:space="preserve"> (m/m)</t>
    </r>
  </si>
  <si>
    <r>
      <t>h</t>
    </r>
    <r>
      <rPr>
        <vertAlign val="subscript"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 (m)</t>
    </r>
  </si>
  <si>
    <t>θ</t>
  </si>
  <si>
    <r>
      <rPr>
        <sz val="10"/>
        <color theme="1"/>
        <rFont val="Calibri"/>
        <family val="2"/>
      </rPr>
      <t>τ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=</t>
    </r>
  </si>
  <si>
    <r>
      <rPr>
        <sz val="10"/>
        <color theme="1"/>
        <rFont val="Calibri"/>
        <family val="2"/>
      </rPr>
      <t>θ</t>
    </r>
    <r>
      <rPr>
        <vertAlign val="subscript"/>
        <sz val="10"/>
        <color theme="1"/>
        <rFont val="Arial"/>
        <family val="2"/>
      </rPr>
      <t xml:space="preserve">c </t>
    </r>
    <r>
      <rPr>
        <sz val="10"/>
        <color theme="1"/>
        <rFont val="Arial"/>
        <family val="2"/>
      </rPr>
      <t>=</t>
    </r>
  </si>
  <si>
    <r>
      <t>N/m</t>
    </r>
    <r>
      <rPr>
        <vertAlign val="superscript"/>
        <sz val="10"/>
        <color theme="1"/>
        <rFont val="Arial"/>
        <family val="2"/>
      </rPr>
      <t>2</t>
    </r>
  </si>
  <si>
    <t>Discharge</t>
  </si>
  <si>
    <t>Q =</t>
  </si>
  <si>
    <t>b (m)</t>
  </si>
  <si>
    <r>
      <t>z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(masl)</t>
    </r>
  </si>
  <si>
    <r>
      <t>h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(m)</t>
    </r>
  </si>
  <si>
    <r>
      <t>z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=</t>
    </r>
  </si>
  <si>
    <t>Boundary Conditions</t>
  </si>
  <si>
    <t>t (s)</t>
  </si>
  <si>
    <r>
      <t>Q (m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/s)</t>
    </r>
  </si>
  <si>
    <t>SLR =</t>
  </si>
  <si>
    <t>cm/yr</t>
  </si>
  <si>
    <t>s</t>
  </si>
  <si>
    <r>
      <t>m</t>
    </r>
    <r>
      <rPr>
        <vertAlign val="subscript"/>
        <sz val="10"/>
        <color theme="1"/>
        <rFont val="Arial"/>
        <family val="2"/>
      </rPr>
      <t>1</t>
    </r>
  </si>
  <si>
    <r>
      <t>m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/>
    </r>
  </si>
  <si>
    <r>
      <t>m</t>
    </r>
    <r>
      <rPr>
        <vertAlign val="subscript"/>
        <sz val="10"/>
        <color theme="1"/>
        <rFont val="Arial"/>
        <family val="2"/>
      </rPr>
      <t>2</t>
    </r>
  </si>
  <si>
    <t>BC</t>
  </si>
  <si>
    <t>λ =</t>
  </si>
  <si>
    <t>u* (m/s)</t>
  </si>
  <si>
    <t>dt (s)</t>
  </si>
  <si>
    <r>
      <t>t</t>
    </r>
    <r>
      <rPr>
        <vertAlign val="subscript"/>
        <sz val="10"/>
        <color theme="1"/>
        <rFont val="Arial"/>
        <family val="2"/>
      </rPr>
      <t>max</t>
    </r>
    <r>
      <rPr>
        <sz val="10"/>
        <color theme="1"/>
        <rFont val="Arial"/>
        <family val="2"/>
      </rPr>
      <t xml:space="preserve"> =</t>
    </r>
  </si>
  <si>
    <t>Rows =</t>
  </si>
  <si>
    <t>dt =</t>
  </si>
  <si>
    <t>DS =</t>
  </si>
  <si>
    <t>Reaches</t>
  </si>
  <si>
    <t>Export?</t>
  </si>
  <si>
    <t>Path =</t>
  </si>
  <si>
    <r>
      <t>H</t>
    </r>
    <r>
      <rPr>
        <vertAlign val="subscript"/>
        <sz val="10"/>
        <color theme="1"/>
        <rFont val="Arial"/>
        <family val="2"/>
      </rPr>
      <t>s</t>
    </r>
  </si>
  <si>
    <t>H</t>
  </si>
  <si>
    <t>R* =</t>
  </si>
  <si>
    <r>
      <t>n</t>
    </r>
    <r>
      <rPr>
        <vertAlign val="subscript"/>
        <sz val="10"/>
        <color theme="1"/>
        <rFont val="Arial"/>
        <family val="2"/>
      </rPr>
      <t>new</t>
    </r>
  </si>
  <si>
    <r>
      <t>H</t>
    </r>
    <r>
      <rPr>
        <vertAlign val="subscript"/>
        <sz val="10"/>
        <color theme="1"/>
        <rFont val="Arial"/>
        <family val="2"/>
      </rPr>
      <t>s1</t>
    </r>
  </si>
  <si>
    <r>
      <t>d</t>
    </r>
    <r>
      <rPr>
        <vertAlign val="subscript"/>
        <sz val="10"/>
        <color theme="1"/>
        <rFont val="Arial"/>
        <family val="2"/>
      </rPr>
      <t>90</t>
    </r>
    <r>
      <rPr>
        <sz val="10"/>
        <color theme="1"/>
        <rFont val="Arial"/>
        <family val="2"/>
      </rPr>
      <t xml:space="preserve"> =</t>
    </r>
  </si>
  <si>
    <r>
      <t>k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 =</t>
    </r>
  </si>
  <si>
    <r>
      <t>n (m</t>
    </r>
    <r>
      <rPr>
        <vertAlign val="superscript"/>
        <sz val="10"/>
        <color theme="1"/>
        <rFont val="Arial"/>
        <family val="2"/>
      </rPr>
      <t>1/3</t>
    </r>
    <r>
      <rPr>
        <sz val="10"/>
        <color theme="1"/>
        <rFont val="Arial"/>
        <family val="2"/>
      </rPr>
      <t>/s)</t>
    </r>
  </si>
  <si>
    <r>
      <t>q</t>
    </r>
    <r>
      <rPr>
        <vertAlign val="subscript"/>
        <sz val="10"/>
        <color theme="1"/>
        <rFont val="Arial"/>
        <family val="2"/>
      </rPr>
      <t>ss</t>
    </r>
    <r>
      <rPr>
        <sz val="10"/>
        <color theme="1"/>
        <rFont val="Arial"/>
        <family val="2"/>
      </rPr>
      <t xml:space="preserve">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/s)</t>
    </r>
  </si>
  <si>
    <r>
      <t>q</t>
    </r>
    <r>
      <rPr>
        <vertAlign val="subscript"/>
        <sz val="10"/>
        <color theme="1"/>
        <rFont val="Arial"/>
        <family val="2"/>
      </rPr>
      <t>t</t>
    </r>
    <r>
      <rPr>
        <sz val="10"/>
        <color theme="1"/>
        <rFont val="Arial"/>
        <family val="2"/>
      </rPr>
      <t xml:space="preserve">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/s)</t>
    </r>
  </si>
  <si>
    <r>
      <rPr>
        <sz val="10"/>
        <color theme="1"/>
        <rFont val="Calibri"/>
        <family val="2"/>
      </rPr>
      <t>τ</t>
    </r>
    <r>
      <rPr>
        <vertAlign val="subscript"/>
        <sz val="10"/>
        <color theme="1"/>
        <rFont val="Arial"/>
        <family val="2"/>
      </rPr>
      <t>min</t>
    </r>
    <r>
      <rPr>
        <vertAlign val="superscript"/>
        <sz val="10"/>
        <color theme="1"/>
        <rFont val="Arial"/>
        <family val="2"/>
      </rPr>
      <t>*</t>
    </r>
    <r>
      <rPr>
        <sz val="10"/>
        <color theme="1"/>
        <rFont val="Arial"/>
        <family val="2"/>
      </rPr>
      <t xml:space="preserve"> (N/m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</si>
  <si>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R</t>
    </r>
    <r>
      <rPr>
        <vertAlign val="subscript"/>
        <sz val="10"/>
        <color theme="1"/>
        <rFont val="Arial"/>
        <family val="2"/>
      </rPr>
      <t>f</t>
    </r>
    <r>
      <rPr>
        <sz val="10"/>
        <color theme="1"/>
        <rFont val="Arial"/>
        <family val="2"/>
      </rPr>
      <t xml:space="preserve"> =</t>
    </r>
  </si>
  <si>
    <r>
      <t>v</t>
    </r>
    <r>
      <rPr>
        <vertAlign val="subscript"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 =</t>
    </r>
  </si>
  <si>
    <t>Cz</t>
  </si>
  <si>
    <r>
      <t>k</t>
    </r>
    <r>
      <rPr>
        <vertAlign val="subscript"/>
        <sz val="10"/>
        <color theme="1"/>
        <rFont val="Arial"/>
        <family val="2"/>
      </rPr>
      <t>c</t>
    </r>
    <r>
      <rPr>
        <sz val="10"/>
        <color theme="1"/>
        <rFont val="Arial"/>
        <family val="2"/>
      </rPr>
      <t xml:space="preserve"> (m)</t>
    </r>
  </si>
  <si>
    <r>
      <t>Z</t>
    </r>
    <r>
      <rPr>
        <vertAlign val="subscript"/>
        <sz val="10"/>
        <color theme="1"/>
        <rFont val="Arial"/>
        <family val="2"/>
      </rPr>
      <t>u</t>
    </r>
  </si>
  <si>
    <t>E</t>
  </si>
  <si>
    <t>I</t>
  </si>
  <si>
    <t>Bedforms?</t>
  </si>
  <si>
    <t>SS?</t>
  </si>
  <si>
    <r>
      <t>F</t>
    </r>
    <r>
      <rPr>
        <vertAlign val="subscript"/>
        <sz val="10"/>
        <color theme="1"/>
        <rFont val="Arial"/>
        <family val="2"/>
      </rPr>
      <t>r</t>
    </r>
  </si>
  <si>
    <r>
      <t>z</t>
    </r>
    <r>
      <rPr>
        <vertAlign val="subscript"/>
        <sz val="10"/>
        <color theme="1"/>
        <rFont val="Arial"/>
        <family val="2"/>
      </rPr>
      <t>new</t>
    </r>
    <r>
      <rPr>
        <sz val="10"/>
        <color theme="1"/>
        <rFont val="Arial"/>
        <family val="2"/>
      </rPr>
      <t xml:space="preserve"> (masl)</t>
    </r>
  </si>
  <si>
    <r>
      <t>H</t>
    </r>
    <r>
      <rPr>
        <vertAlign val="subscript"/>
        <sz val="10"/>
        <color theme="1"/>
        <rFont val="Arial"/>
        <family val="2"/>
      </rPr>
      <t>s2</t>
    </r>
  </si>
  <si>
    <r>
      <t>τ</t>
    </r>
    <r>
      <rPr>
        <vertAlign val="subscript"/>
        <sz val="10"/>
        <color theme="1"/>
        <rFont val="Arial"/>
        <family val="2"/>
      </rPr>
      <t>0</t>
    </r>
    <r>
      <rPr>
        <sz val="10"/>
        <color theme="1"/>
        <rFont val="Arial"/>
        <family val="2"/>
      </rPr>
      <t xml:space="preserve"> (N/m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)</t>
    </r>
  </si>
  <si>
    <r>
      <t>q</t>
    </r>
    <r>
      <rPr>
        <vertAlign val="subscript"/>
        <sz val="10"/>
        <color theme="1"/>
        <rFont val="Arial"/>
        <family val="2"/>
      </rPr>
      <t>b</t>
    </r>
    <r>
      <rPr>
        <sz val="10"/>
        <color theme="1"/>
        <rFont val="Arial"/>
        <family val="2"/>
      </rPr>
      <t xml:space="preserve">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/s)</t>
    </r>
  </si>
  <si>
    <t>C:\Users\malva\Documents\1 - Flood Risk Management\Semester 3 - UPC\4 - Fluvial Morphodynamics\Assignment\MD_Graphs</t>
  </si>
  <si>
    <t>Case =</t>
  </si>
  <si>
    <t>SLR?</t>
  </si>
  <si>
    <r>
      <t>Re</t>
    </r>
    <r>
      <rPr>
        <vertAlign val="subscript"/>
        <sz val="10"/>
        <color theme="1"/>
        <rFont val="Arial"/>
        <family val="2"/>
      </rPr>
      <t>p</t>
    </r>
    <r>
      <rPr>
        <sz val="10"/>
        <color theme="1"/>
        <rFont val="Arial"/>
        <family val="2"/>
      </rPr>
      <t xml:space="preserve"> =</t>
    </r>
  </si>
  <si>
    <r>
      <rPr>
        <sz val="10"/>
        <color theme="1"/>
        <rFont val="Calibri"/>
        <family val="2"/>
      </rPr>
      <t>Δ</t>
    </r>
    <r>
      <rPr>
        <sz val="10"/>
        <color theme="1"/>
        <rFont val="Arial"/>
        <family val="2"/>
      </rPr>
      <t>q</t>
    </r>
    <r>
      <rPr>
        <vertAlign val="subscript"/>
        <sz val="10"/>
        <color theme="1"/>
        <rFont val="Arial"/>
        <family val="2"/>
      </rPr>
      <t>t</t>
    </r>
    <r>
      <rPr>
        <sz val="10"/>
        <color theme="1"/>
        <rFont val="Arial"/>
        <family val="2"/>
      </rPr>
      <t xml:space="preserve"> (m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/s)</t>
    </r>
  </si>
  <si>
    <r>
      <t>Q (m</t>
    </r>
    <r>
      <rPr>
        <b/>
        <i/>
        <vertAlign val="superscript"/>
        <sz val="10"/>
        <color theme="1"/>
        <rFont val="Arial"/>
        <family val="2"/>
      </rPr>
      <t>3</t>
    </r>
    <r>
      <rPr>
        <b/>
        <i/>
        <sz val="10"/>
        <color theme="1"/>
        <rFont val="Arial"/>
        <family val="2"/>
      </rPr>
      <t>/s)</t>
    </r>
  </si>
  <si>
    <t>US (masl)</t>
  </si>
  <si>
    <t>DS (masl)</t>
  </si>
  <si>
    <t>1 -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</si>
</sst>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0"/>
    <numFmt numFmtId="167" formatCode="0.0"/>
    <numFmt numFmtId="168" formatCode="0.0E+00"/>
  </numFmts>
  <fonts count="15" x14ac:knownFonts="1">
    <font>
      <sz val="10"/>
      <color theme="1"/>
      <name val="Arial"/>
      <family val="2"/>
    </font>
    <font>
      <sz val="10"/>
      <color theme="1"/>
      <name val="Calibri"/>
      <family val="2"/>
    </font>
    <font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b/>
      <i/>
      <sz val="10"/>
      <color theme="1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10"/>
      <color rgb="FF3F3F76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i/>
      <sz val="10"/>
      <color rgb="FF000000"/>
      <name val="Arial"/>
      <family val="2"/>
    </font>
    <font>
      <b/>
      <i/>
      <vertAlign val="superscript"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0" fillId="2" borderId="1" applyNumberFormat="0" applyAlignment="0" applyProtection="0"/>
    <xf numFmtId="0" fontId="11" fillId="3" borderId="1" applyNumberFormat="0" applyAlignment="0" applyProtection="0"/>
    <xf numFmtId="0" fontId="12" fillId="0" borderId="2" applyNumberFormat="0" applyFill="0" applyAlignment="0" applyProtection="0"/>
  </cellStyleXfs>
  <cellXfs count="49">
    <xf numFmtId="0" fontId="0" fillId="0" borderId="0" xfId="0"/>
    <xf numFmtId="0" fontId="0" fillId="0" borderId="0" xfId="0" applyFont="1"/>
    <xf numFmtId="0" fontId="0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Border="1"/>
    <xf numFmtId="166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11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7" fillId="0" borderId="0" xfId="0" applyFont="1"/>
    <xf numFmtId="167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0" fillId="0" borderId="0" xfId="0" applyNumberFormat="1"/>
    <xf numFmtId="0" fontId="9" fillId="0" borderId="0" xfId="0" applyFont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7" fontId="12" fillId="0" borderId="2" xfId="3" applyNumberFormat="1"/>
    <xf numFmtId="0" fontId="10" fillId="2" borderId="1" xfId="1"/>
    <xf numFmtId="168" fontId="10" fillId="2" borderId="1" xfId="1" applyNumberFormat="1"/>
    <xf numFmtId="166" fontId="12" fillId="0" borderId="2" xfId="3" applyNumberFormat="1"/>
    <xf numFmtId="2" fontId="12" fillId="0" borderId="2" xfId="3" applyNumberFormat="1"/>
    <xf numFmtId="0" fontId="12" fillId="0" borderId="2" xfId="3"/>
    <xf numFmtId="11" fontId="12" fillId="0" borderId="2" xfId="3" applyNumberFormat="1"/>
    <xf numFmtId="0" fontId="0" fillId="0" borderId="3" xfId="0" applyBorder="1"/>
    <xf numFmtId="164" fontId="12" fillId="0" borderId="2" xfId="3" applyNumberFormat="1"/>
    <xf numFmtId="0" fontId="11" fillId="3" borderId="1" xfId="2"/>
    <xf numFmtId="164" fontId="11" fillId="3" borderId="1" xfId="2" applyNumberFormat="1"/>
    <xf numFmtId="2" fontId="11" fillId="3" borderId="1" xfId="2" applyNumberFormat="1"/>
    <xf numFmtId="0" fontId="10" fillId="2" borderId="1" xfId="1" applyAlignment="1">
      <alignment horizontal="center"/>
    </xf>
    <xf numFmtId="167" fontId="10" fillId="2" borderId="1" xfId="1" applyNumberFormat="1" applyAlignment="1">
      <alignment horizontal="center"/>
    </xf>
    <xf numFmtId="2" fontId="10" fillId="2" borderId="1" xfId="1" applyNumberFormat="1" applyAlignment="1">
      <alignment horizontal="center" vertical="center"/>
    </xf>
    <xf numFmtId="167" fontId="10" fillId="2" borderId="1" xfId="1" applyNumberFormat="1" applyAlignment="1">
      <alignment horizontal="center" vertical="center"/>
    </xf>
    <xf numFmtId="0" fontId="7" fillId="0" borderId="0" xfId="0" applyFont="1" applyAlignment="1">
      <alignment horizontal="center"/>
    </xf>
    <xf numFmtId="164" fontId="0" fillId="0" borderId="0" xfId="0" applyNumberFormat="1" applyBorder="1"/>
    <xf numFmtId="0" fontId="10" fillId="2" borderId="1" xfId="1" applyAlignment="1">
      <alignment horizontal="center" vertical="center"/>
    </xf>
    <xf numFmtId="2" fontId="10" fillId="2" borderId="1" xfId="1" applyNumberFormat="1" applyAlignment="1">
      <alignment horizontal="center"/>
    </xf>
  </cellXfs>
  <cellStyles count="4">
    <cellStyle name="Calculation" xfId="2" builtinId="22"/>
    <cellStyle name="Input" xfId="1" builtinId="20"/>
    <cellStyle name="Linked Cell" xfId="3" builtinId="2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z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'Grid-BC'!$B$27:$B$140</c:f>
              <c:numCache>
                <c:formatCode>General</c:formatCode>
                <c:ptCount val="114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'Grid-BC'!$C$27:$C$140</c:f>
              <c:numCache>
                <c:formatCode>General</c:formatCode>
                <c:ptCount val="114"/>
                <c:pt idx="0">
                  <c:v>10.635</c:v>
                </c:pt>
                <c:pt idx="1">
                  <c:v>10.595000000000001</c:v>
                </c:pt>
                <c:pt idx="2">
                  <c:v>10.555000000000001</c:v>
                </c:pt>
                <c:pt idx="3">
                  <c:v>10.515000000000002</c:v>
                </c:pt>
                <c:pt idx="4">
                  <c:v>10.475000000000003</c:v>
                </c:pt>
                <c:pt idx="5" formatCode="0.000">
                  <c:v>10.435000000000004</c:v>
                </c:pt>
                <c:pt idx="6" formatCode="0.000">
                  <c:v>10.395000000000005</c:v>
                </c:pt>
                <c:pt idx="7" formatCode="0.000">
                  <c:v>10.355000000000006</c:v>
                </c:pt>
                <c:pt idx="8" formatCode="0.000">
                  <c:v>10.315000000000007</c:v>
                </c:pt>
                <c:pt idx="9" formatCode="0.000">
                  <c:v>10.275000000000007</c:v>
                </c:pt>
                <c:pt idx="10">
                  <c:v>10.235000000000008</c:v>
                </c:pt>
                <c:pt idx="11">
                  <c:v>10.195000000000009</c:v>
                </c:pt>
                <c:pt idx="12">
                  <c:v>10.15500000000001</c:v>
                </c:pt>
                <c:pt idx="13">
                  <c:v>10.115000000000011</c:v>
                </c:pt>
                <c:pt idx="14">
                  <c:v>10.075000000000012</c:v>
                </c:pt>
                <c:pt idx="15">
                  <c:v>10.070000000000011</c:v>
                </c:pt>
                <c:pt idx="16">
                  <c:v>10.06500000000001</c:v>
                </c:pt>
                <c:pt idx="17">
                  <c:v>10.060000000000009</c:v>
                </c:pt>
                <c:pt idx="18">
                  <c:v>10.055000000000009</c:v>
                </c:pt>
                <c:pt idx="19">
                  <c:v>10.050000000000008</c:v>
                </c:pt>
                <c:pt idx="20">
                  <c:v>10.045000000000007</c:v>
                </c:pt>
                <c:pt idx="21">
                  <c:v>10.040000000000006</c:v>
                </c:pt>
                <c:pt idx="22">
                  <c:v>10.035000000000005</c:v>
                </c:pt>
                <c:pt idx="23">
                  <c:v>10.030000000000005</c:v>
                </c:pt>
                <c:pt idx="24">
                  <c:v>10.025000000000004</c:v>
                </c:pt>
                <c:pt idx="25">
                  <c:v>10.020000000000003</c:v>
                </c:pt>
                <c:pt idx="26">
                  <c:v>10.015000000000002</c:v>
                </c:pt>
                <c:pt idx="27">
                  <c:v>10.010000000000002</c:v>
                </c:pt>
                <c:pt idx="28">
                  <c:v>10.005000000000001</c:v>
                </c:pt>
                <c:pt idx="2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C-47E9-AA77-7E90018DA639}"/>
            </c:ext>
          </c:extLst>
        </c:ser>
        <c:ser>
          <c:idx val="1"/>
          <c:order val="1"/>
          <c:tx>
            <c:v>zb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'Grid-BC'!$B$27:$B$140</c:f>
              <c:numCache>
                <c:formatCode>General</c:formatCode>
                <c:ptCount val="114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'Grid-BC'!$D$27:$D$140</c:f>
              <c:numCache>
                <c:formatCode>0.000</c:formatCode>
                <c:ptCount val="114"/>
                <c:pt idx="0">
                  <c:v>10.535</c:v>
                </c:pt>
                <c:pt idx="1">
                  <c:v>10.495000000000001</c:v>
                </c:pt>
                <c:pt idx="2">
                  <c:v>10.455000000000002</c:v>
                </c:pt>
                <c:pt idx="3">
                  <c:v>10.415000000000003</c:v>
                </c:pt>
                <c:pt idx="4">
                  <c:v>10.375000000000004</c:v>
                </c:pt>
                <c:pt idx="5">
                  <c:v>10.335000000000004</c:v>
                </c:pt>
                <c:pt idx="6">
                  <c:v>10.295000000000005</c:v>
                </c:pt>
                <c:pt idx="7">
                  <c:v>10.255000000000006</c:v>
                </c:pt>
                <c:pt idx="8">
                  <c:v>10.215000000000007</c:v>
                </c:pt>
                <c:pt idx="9">
                  <c:v>10.175000000000008</c:v>
                </c:pt>
                <c:pt idx="10">
                  <c:v>10.135000000000009</c:v>
                </c:pt>
                <c:pt idx="11">
                  <c:v>10.09500000000001</c:v>
                </c:pt>
                <c:pt idx="12">
                  <c:v>10.05500000000001</c:v>
                </c:pt>
                <c:pt idx="13">
                  <c:v>10.015000000000011</c:v>
                </c:pt>
                <c:pt idx="14">
                  <c:v>9.9750000000000121</c:v>
                </c:pt>
                <c:pt idx="15">
                  <c:v>9.9700000000000113</c:v>
                </c:pt>
                <c:pt idx="16">
                  <c:v>9.9650000000000105</c:v>
                </c:pt>
                <c:pt idx="17">
                  <c:v>9.9600000000000097</c:v>
                </c:pt>
                <c:pt idx="18">
                  <c:v>9.955000000000009</c:v>
                </c:pt>
                <c:pt idx="19">
                  <c:v>9.9500000000000082</c:v>
                </c:pt>
                <c:pt idx="20">
                  <c:v>9.9450000000000074</c:v>
                </c:pt>
                <c:pt idx="21">
                  <c:v>9.9400000000000066</c:v>
                </c:pt>
                <c:pt idx="22">
                  <c:v>9.9350000000000058</c:v>
                </c:pt>
                <c:pt idx="23">
                  <c:v>9.930000000000005</c:v>
                </c:pt>
                <c:pt idx="24">
                  <c:v>9.9250000000000043</c:v>
                </c:pt>
                <c:pt idx="25">
                  <c:v>9.9200000000000035</c:v>
                </c:pt>
                <c:pt idx="26">
                  <c:v>9.9150000000000027</c:v>
                </c:pt>
                <c:pt idx="27">
                  <c:v>9.9100000000000019</c:v>
                </c:pt>
                <c:pt idx="28">
                  <c:v>9.9050000000000011</c:v>
                </c:pt>
                <c:pt idx="29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C-47E9-AA77-7E90018DA639}"/>
            </c:ext>
          </c:extLst>
        </c:ser>
        <c:ser>
          <c:idx val="3"/>
          <c:order val="2"/>
          <c:tx>
            <c:v>hn</c:v>
          </c:tx>
          <c:spPr>
            <a:ln w="1270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'Grid-BC'!$B$27:$B$140</c:f>
              <c:numCache>
                <c:formatCode>General</c:formatCode>
                <c:ptCount val="114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'Grid-BC'!$J$27:$J$140</c:f>
              <c:numCache>
                <c:formatCode>0.00</c:formatCode>
                <c:ptCount val="114"/>
                <c:pt idx="0">
                  <c:v>11.16486626832442</c:v>
                </c:pt>
                <c:pt idx="1">
                  <c:v>11.124866268324421</c:v>
                </c:pt>
                <c:pt idx="2">
                  <c:v>11.084866268324422</c:v>
                </c:pt>
                <c:pt idx="3">
                  <c:v>11.044866268324423</c:v>
                </c:pt>
                <c:pt idx="4">
                  <c:v>11.004866268324424</c:v>
                </c:pt>
                <c:pt idx="5">
                  <c:v>10.964866268324425</c:v>
                </c:pt>
                <c:pt idx="6">
                  <c:v>10.924866268324426</c:v>
                </c:pt>
                <c:pt idx="7">
                  <c:v>10.884866268324426</c:v>
                </c:pt>
                <c:pt idx="8">
                  <c:v>10.844866268324427</c:v>
                </c:pt>
                <c:pt idx="9">
                  <c:v>10.804866268324428</c:v>
                </c:pt>
                <c:pt idx="10">
                  <c:v>10.764866268324429</c:v>
                </c:pt>
                <c:pt idx="11">
                  <c:v>10.72486626832443</c:v>
                </c:pt>
                <c:pt idx="12">
                  <c:v>10.684866268324431</c:v>
                </c:pt>
                <c:pt idx="13">
                  <c:v>10.644866268324432</c:v>
                </c:pt>
                <c:pt idx="14">
                  <c:v>10.604866268324432</c:v>
                </c:pt>
                <c:pt idx="15">
                  <c:v>11.093143884427919</c:v>
                </c:pt>
                <c:pt idx="16">
                  <c:v>11.088143884427918</c:v>
                </c:pt>
                <c:pt idx="17">
                  <c:v>11.083143884427917</c:v>
                </c:pt>
                <c:pt idx="18">
                  <c:v>11.078143884427917</c:v>
                </c:pt>
                <c:pt idx="19">
                  <c:v>11.073143884427916</c:v>
                </c:pt>
                <c:pt idx="20">
                  <c:v>11.068143884427915</c:v>
                </c:pt>
                <c:pt idx="21">
                  <c:v>11.063143884427914</c:v>
                </c:pt>
                <c:pt idx="22">
                  <c:v>11.058143884427913</c:v>
                </c:pt>
                <c:pt idx="23">
                  <c:v>11.053143884427913</c:v>
                </c:pt>
                <c:pt idx="24">
                  <c:v>11.048143884427912</c:v>
                </c:pt>
                <c:pt idx="25">
                  <c:v>11.043143884427911</c:v>
                </c:pt>
                <c:pt idx="26">
                  <c:v>11.03814388442791</c:v>
                </c:pt>
                <c:pt idx="27">
                  <c:v>11.033143884427909</c:v>
                </c:pt>
                <c:pt idx="28">
                  <c:v>11.028143884427909</c:v>
                </c:pt>
                <c:pt idx="29">
                  <c:v>11.023143884427908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C7C-47E9-AA77-7E90018DA639}"/>
            </c:ext>
          </c:extLst>
        </c:ser>
        <c:ser>
          <c:idx val="4"/>
          <c:order val="3"/>
          <c:tx>
            <c:v>hc</c:v>
          </c:tx>
          <c:spPr>
            <a:ln w="127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'Grid-BC'!$B$27:$B$140</c:f>
              <c:numCache>
                <c:formatCode>General</c:formatCode>
                <c:ptCount val="114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'Grid-BC'!$K$27:$K$140</c:f>
              <c:numCache>
                <c:formatCode>0.00</c:formatCode>
                <c:ptCount val="114"/>
                <c:pt idx="0">
                  <c:v>11.376532735415367</c:v>
                </c:pt>
                <c:pt idx="1">
                  <c:v>11.336532735415368</c:v>
                </c:pt>
                <c:pt idx="2">
                  <c:v>11.296532735415369</c:v>
                </c:pt>
                <c:pt idx="3">
                  <c:v>11.256532735415369</c:v>
                </c:pt>
                <c:pt idx="4">
                  <c:v>11.21653273541537</c:v>
                </c:pt>
                <c:pt idx="5">
                  <c:v>11.176532735415371</c:v>
                </c:pt>
                <c:pt idx="6">
                  <c:v>11.136532735415372</c:v>
                </c:pt>
                <c:pt idx="7">
                  <c:v>11.096532735415373</c:v>
                </c:pt>
                <c:pt idx="8">
                  <c:v>11.056532735415374</c:v>
                </c:pt>
                <c:pt idx="9">
                  <c:v>11.016532735415375</c:v>
                </c:pt>
                <c:pt idx="10">
                  <c:v>10.976532735415375</c:v>
                </c:pt>
                <c:pt idx="11">
                  <c:v>10.936532735415376</c:v>
                </c:pt>
                <c:pt idx="12">
                  <c:v>10.896532735415377</c:v>
                </c:pt>
                <c:pt idx="13">
                  <c:v>10.856532735415378</c:v>
                </c:pt>
                <c:pt idx="14">
                  <c:v>10.816532735415379</c:v>
                </c:pt>
                <c:pt idx="15">
                  <c:v>10.811532735415378</c:v>
                </c:pt>
                <c:pt idx="16">
                  <c:v>10.806532735415377</c:v>
                </c:pt>
                <c:pt idx="17">
                  <c:v>10.801532735415377</c:v>
                </c:pt>
                <c:pt idx="18">
                  <c:v>10.796532735415376</c:v>
                </c:pt>
                <c:pt idx="19">
                  <c:v>10.791532735415375</c:v>
                </c:pt>
                <c:pt idx="20">
                  <c:v>10.786532735415374</c:v>
                </c:pt>
                <c:pt idx="21">
                  <c:v>10.781532735415373</c:v>
                </c:pt>
                <c:pt idx="22">
                  <c:v>10.776532735415373</c:v>
                </c:pt>
                <c:pt idx="23">
                  <c:v>10.771532735415372</c:v>
                </c:pt>
                <c:pt idx="24">
                  <c:v>10.766532735415371</c:v>
                </c:pt>
                <c:pt idx="25">
                  <c:v>10.76153273541537</c:v>
                </c:pt>
                <c:pt idx="26">
                  <c:v>10.756532735415369</c:v>
                </c:pt>
                <c:pt idx="27">
                  <c:v>10.751532735415369</c:v>
                </c:pt>
                <c:pt idx="28">
                  <c:v>10.746532735415368</c:v>
                </c:pt>
                <c:pt idx="29">
                  <c:v>10.741532735415367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7C-47E9-AA77-7E90018DA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045984"/>
        <c:axId val="622046312"/>
      </c:scatterChart>
      <c:valAx>
        <c:axId val="622045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Station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2046312"/>
        <c:crosses val="autoZero"/>
        <c:crossBetween val="midCat"/>
      </c:valAx>
      <c:valAx>
        <c:axId val="6220463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latin typeface="Arial" panose="020B0604020202020204" pitchFamily="34" charset="0"/>
                    <a:cs typeface="Arial" panose="020B0604020202020204" pitchFamily="34" charset="0"/>
                  </a:rPr>
                  <a:t>Elevation (m</a:t>
                </a:r>
                <a:r>
                  <a:rPr lang="en-US" baseline="0">
                    <a:latin typeface="Arial" panose="020B0604020202020204" pitchFamily="34" charset="0"/>
                    <a:cs typeface="Arial" panose="020B0604020202020204" pitchFamily="34" charset="0"/>
                  </a:rPr>
                  <a:t>asl)</a:t>
                </a:r>
                <a:endParaRPr 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22045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Boundary Conditions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Up 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'Grid-BC'!$N$11:$N$23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'Grid-BC'!$P$11:$P$23</c:f>
              <c:numCache>
                <c:formatCode>0.00</c:formatCode>
                <c:ptCount val="13"/>
                <c:pt idx="0">
                  <c:v>11.4</c:v>
                </c:pt>
                <c:pt idx="1">
                  <c:v>11.4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BE-4BA7-8FCF-22C52D7E8DE7}"/>
            </c:ext>
          </c:extLst>
        </c:ser>
        <c:ser>
          <c:idx val="2"/>
          <c:order val="2"/>
          <c:tx>
            <c:v>Down 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'Grid-BC'!$N$11:$N$23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'Grid-BC'!$Q$11:$Q$23</c:f>
              <c:numCache>
                <c:formatCode>0.0</c:formatCode>
                <c:ptCount val="13"/>
                <c:pt idx="0">
                  <c:v>10.6</c:v>
                </c:pt>
                <c:pt idx="1">
                  <c:v>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D2-4777-B8DB-1668748C4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807464"/>
        <c:axId val="515810088"/>
      </c:scatterChart>
      <c:scatterChart>
        <c:scatterStyle val="lineMarker"/>
        <c:varyColors val="0"/>
        <c:ser>
          <c:idx val="0"/>
          <c:order val="0"/>
          <c:tx>
            <c:v>Discharge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'Grid-BC'!$N$11:$N$23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'Grid-BC'!$O$11:$O$23</c:f>
              <c:numCache>
                <c:formatCode>0.0</c:formatCode>
                <c:ptCount val="13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BE-4BA7-8FCF-22C52D7E8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5155192"/>
        <c:axId val="625147976"/>
      </c:scatterChart>
      <c:valAx>
        <c:axId val="515807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900">
                    <a:latin typeface="Arial" panose="020B0604020202020204" pitchFamily="34" charset="0"/>
                    <a:cs typeface="Arial" panose="020B0604020202020204" pitchFamily="34" charset="0"/>
                  </a:rPr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15810088"/>
        <c:crosses val="autoZero"/>
        <c:crossBetween val="midCat"/>
      </c:valAx>
      <c:valAx>
        <c:axId val="515810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900">
                    <a:latin typeface="Arial" panose="020B0604020202020204" pitchFamily="34" charset="0"/>
                    <a:cs typeface="Arial" panose="020B0604020202020204" pitchFamily="34" charset="0"/>
                  </a:rPr>
                  <a:t>Elevation (masl)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15807464"/>
        <c:crosses val="autoZero"/>
        <c:crossBetween val="midCat"/>
      </c:valAx>
      <c:valAx>
        <c:axId val="62514797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Inflow (m</a:t>
                </a:r>
                <a:r>
                  <a:rPr lang="en-US" baseline="30000"/>
                  <a:t>3</a:t>
                </a:r>
                <a:r>
                  <a:rPr lang="en-US"/>
                  <a:t>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5155192"/>
        <c:crosses val="max"/>
        <c:crossBetween val="midCat"/>
      </c:valAx>
      <c:valAx>
        <c:axId val="625155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5147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z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US!$B$3:$B$140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US!$C$3:$C$140</c:f>
              <c:numCache>
                <c:formatCode>General</c:formatCode>
                <c:ptCount val="138"/>
                <c:pt idx="0">
                  <c:v>10.635</c:v>
                </c:pt>
                <c:pt idx="1">
                  <c:v>10.595000000000001</c:v>
                </c:pt>
                <c:pt idx="2">
                  <c:v>10.555000000000001</c:v>
                </c:pt>
                <c:pt idx="3">
                  <c:v>10.515000000000002</c:v>
                </c:pt>
                <c:pt idx="4">
                  <c:v>10.475000000000003</c:v>
                </c:pt>
                <c:pt idx="5">
                  <c:v>10.435000000000004</c:v>
                </c:pt>
                <c:pt idx="6">
                  <c:v>10.395000000000005</c:v>
                </c:pt>
                <c:pt idx="7">
                  <c:v>10.355000000000006</c:v>
                </c:pt>
                <c:pt idx="8">
                  <c:v>10.315000000000007</c:v>
                </c:pt>
                <c:pt idx="9">
                  <c:v>10.275000000000007</c:v>
                </c:pt>
                <c:pt idx="10">
                  <c:v>10.235000000000008</c:v>
                </c:pt>
                <c:pt idx="11">
                  <c:v>10.195000000000009</c:v>
                </c:pt>
                <c:pt idx="12">
                  <c:v>10.15500000000001</c:v>
                </c:pt>
                <c:pt idx="13">
                  <c:v>10.115000000000011</c:v>
                </c:pt>
                <c:pt idx="14">
                  <c:v>10.075000000000012</c:v>
                </c:pt>
                <c:pt idx="15">
                  <c:v>10.070000000000011</c:v>
                </c:pt>
                <c:pt idx="16">
                  <c:v>10.06500000000001</c:v>
                </c:pt>
                <c:pt idx="17">
                  <c:v>10.060000000000009</c:v>
                </c:pt>
                <c:pt idx="18">
                  <c:v>10.055000000000009</c:v>
                </c:pt>
                <c:pt idx="19">
                  <c:v>10.050000000000008</c:v>
                </c:pt>
                <c:pt idx="20">
                  <c:v>10.045000000000007</c:v>
                </c:pt>
                <c:pt idx="21">
                  <c:v>10.040000000000006</c:v>
                </c:pt>
                <c:pt idx="22">
                  <c:v>10.035000000000005</c:v>
                </c:pt>
                <c:pt idx="23">
                  <c:v>10.030000000000005</c:v>
                </c:pt>
                <c:pt idx="24">
                  <c:v>10.025000000000004</c:v>
                </c:pt>
                <c:pt idx="25">
                  <c:v>10.020000000000003</c:v>
                </c:pt>
                <c:pt idx="26">
                  <c:v>10.015000000000002</c:v>
                </c:pt>
                <c:pt idx="27">
                  <c:v>10.010000000000002</c:v>
                </c:pt>
                <c:pt idx="28">
                  <c:v>10.005000000000001</c:v>
                </c:pt>
                <c:pt idx="2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CE-4E0A-9E26-DA882BB02F0B}"/>
            </c:ext>
          </c:extLst>
        </c:ser>
        <c:ser>
          <c:idx val="1"/>
          <c:order val="1"/>
          <c:tx>
            <c:v>zb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US!$B$3:$B$140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US!$D$3:$D$140</c:f>
              <c:numCache>
                <c:formatCode>0.000</c:formatCode>
                <c:ptCount val="138"/>
                <c:pt idx="0">
                  <c:v>10.535</c:v>
                </c:pt>
                <c:pt idx="1">
                  <c:v>10.495000000000001</c:v>
                </c:pt>
                <c:pt idx="2">
                  <c:v>10.455000000000002</c:v>
                </c:pt>
                <c:pt idx="3">
                  <c:v>10.415000000000003</c:v>
                </c:pt>
                <c:pt idx="4">
                  <c:v>10.375000000000004</c:v>
                </c:pt>
                <c:pt idx="5">
                  <c:v>10.335000000000004</c:v>
                </c:pt>
                <c:pt idx="6">
                  <c:v>10.295000000000005</c:v>
                </c:pt>
                <c:pt idx="7">
                  <c:v>10.255000000000006</c:v>
                </c:pt>
                <c:pt idx="8">
                  <c:v>10.215000000000007</c:v>
                </c:pt>
                <c:pt idx="9">
                  <c:v>10.175000000000008</c:v>
                </c:pt>
                <c:pt idx="10">
                  <c:v>10.135000000000009</c:v>
                </c:pt>
                <c:pt idx="11">
                  <c:v>10.09500000000001</c:v>
                </c:pt>
                <c:pt idx="12">
                  <c:v>10.05500000000001</c:v>
                </c:pt>
                <c:pt idx="13">
                  <c:v>10.015000000000011</c:v>
                </c:pt>
                <c:pt idx="14">
                  <c:v>9.9750000000000121</c:v>
                </c:pt>
                <c:pt idx="15">
                  <c:v>9.9700000000000113</c:v>
                </c:pt>
                <c:pt idx="16">
                  <c:v>9.9650000000000105</c:v>
                </c:pt>
                <c:pt idx="17">
                  <c:v>9.9600000000000097</c:v>
                </c:pt>
                <c:pt idx="18">
                  <c:v>9.955000000000009</c:v>
                </c:pt>
                <c:pt idx="19">
                  <c:v>9.9500000000000082</c:v>
                </c:pt>
                <c:pt idx="20">
                  <c:v>9.9450000000000074</c:v>
                </c:pt>
                <c:pt idx="21">
                  <c:v>9.9400000000000066</c:v>
                </c:pt>
                <c:pt idx="22">
                  <c:v>9.9350000000000058</c:v>
                </c:pt>
                <c:pt idx="23">
                  <c:v>9.930000000000005</c:v>
                </c:pt>
                <c:pt idx="24">
                  <c:v>9.9250000000000043</c:v>
                </c:pt>
                <c:pt idx="25">
                  <c:v>9.9200000000000035</c:v>
                </c:pt>
                <c:pt idx="26">
                  <c:v>9.9150000000000027</c:v>
                </c:pt>
                <c:pt idx="27">
                  <c:v>9.9100000000000019</c:v>
                </c:pt>
                <c:pt idx="28">
                  <c:v>9.9050000000000011</c:v>
                </c:pt>
                <c:pt idx="29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CE-4E0A-9E26-DA882BB02F0B}"/>
            </c:ext>
          </c:extLst>
        </c:ser>
        <c:ser>
          <c:idx val="2"/>
          <c:order val="2"/>
          <c:tx>
            <c:strRef>
              <c:f>US!$I$2</c:f>
              <c:strCache>
                <c:ptCount val="1"/>
                <c:pt idx="0">
                  <c:v>z + h (masl)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US!$B$3:$B$140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US!$I$3:$I$140</c:f>
              <c:numCache>
                <c:formatCode>0.00</c:formatCode>
                <c:ptCount val="138"/>
                <c:pt idx="0">
                  <c:v>11.16486626832442</c:v>
                </c:pt>
                <c:pt idx="1">
                  <c:v>11.124866268324421</c:v>
                </c:pt>
                <c:pt idx="2">
                  <c:v>11.084866268324422</c:v>
                </c:pt>
                <c:pt idx="3">
                  <c:v>11.044866268324423</c:v>
                </c:pt>
                <c:pt idx="4">
                  <c:v>11.004866268324424</c:v>
                </c:pt>
                <c:pt idx="5">
                  <c:v>10.964866268324425</c:v>
                </c:pt>
                <c:pt idx="6">
                  <c:v>10.924866268324426</c:v>
                </c:pt>
                <c:pt idx="7">
                  <c:v>10.884866268324426</c:v>
                </c:pt>
                <c:pt idx="8">
                  <c:v>10.844866268324427</c:v>
                </c:pt>
                <c:pt idx="9">
                  <c:v>10.804866268324428</c:v>
                </c:pt>
                <c:pt idx="10">
                  <c:v>10.764866268324429</c:v>
                </c:pt>
                <c:pt idx="11">
                  <c:v>10.72486626832443</c:v>
                </c:pt>
                <c:pt idx="12">
                  <c:v>10.684866268324431</c:v>
                </c:pt>
                <c:pt idx="13">
                  <c:v>10.644866268324432</c:v>
                </c:pt>
                <c:pt idx="14">
                  <c:v>10.604866268324432</c:v>
                </c:pt>
                <c:pt idx="15">
                  <c:v>11.093143884427919</c:v>
                </c:pt>
                <c:pt idx="16">
                  <c:v>11.088143884427918</c:v>
                </c:pt>
                <c:pt idx="17">
                  <c:v>11.083143884427917</c:v>
                </c:pt>
                <c:pt idx="18">
                  <c:v>11.078143884427917</c:v>
                </c:pt>
                <c:pt idx="19">
                  <c:v>11.073143884427916</c:v>
                </c:pt>
                <c:pt idx="20">
                  <c:v>11.068143884427915</c:v>
                </c:pt>
                <c:pt idx="21">
                  <c:v>11.063143884427914</c:v>
                </c:pt>
                <c:pt idx="22">
                  <c:v>11.058143884427913</c:v>
                </c:pt>
                <c:pt idx="23">
                  <c:v>11.053143884427913</c:v>
                </c:pt>
                <c:pt idx="24">
                  <c:v>11.048143884427912</c:v>
                </c:pt>
                <c:pt idx="25">
                  <c:v>11.043143884427911</c:v>
                </c:pt>
                <c:pt idx="26">
                  <c:v>11.03814388442791</c:v>
                </c:pt>
                <c:pt idx="27">
                  <c:v>11.033143884427909</c:v>
                </c:pt>
                <c:pt idx="28">
                  <c:v>11.028143884427909</c:v>
                </c:pt>
                <c:pt idx="29">
                  <c:v>11.023143884427908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CE-4E0A-9E26-DA882BB02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18608"/>
        <c:axId val="369717624"/>
      </c:scatterChart>
      <c:valAx>
        <c:axId val="36971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Station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17624"/>
        <c:crosses val="autoZero"/>
        <c:crossBetween val="midCat"/>
      </c:valAx>
      <c:valAx>
        <c:axId val="36971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Elevation (masl)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1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z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DS!$B$3:$B$140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DS!$C$3:$C$140</c:f>
              <c:numCache>
                <c:formatCode>General</c:formatCode>
                <c:ptCount val="138"/>
                <c:pt idx="0">
                  <c:v>10.635</c:v>
                </c:pt>
                <c:pt idx="1">
                  <c:v>10.595000000000001</c:v>
                </c:pt>
                <c:pt idx="2">
                  <c:v>10.555000000000001</c:v>
                </c:pt>
                <c:pt idx="3">
                  <c:v>10.515000000000002</c:v>
                </c:pt>
                <c:pt idx="4">
                  <c:v>10.475000000000003</c:v>
                </c:pt>
                <c:pt idx="5">
                  <c:v>10.435000000000004</c:v>
                </c:pt>
                <c:pt idx="6">
                  <c:v>10.395000000000005</c:v>
                </c:pt>
                <c:pt idx="7">
                  <c:v>10.355000000000006</c:v>
                </c:pt>
                <c:pt idx="8">
                  <c:v>10.315000000000007</c:v>
                </c:pt>
                <c:pt idx="9">
                  <c:v>10.275000000000007</c:v>
                </c:pt>
                <c:pt idx="10">
                  <c:v>10.235000000000008</c:v>
                </c:pt>
                <c:pt idx="11">
                  <c:v>10.195000000000009</c:v>
                </c:pt>
                <c:pt idx="12">
                  <c:v>10.15500000000001</c:v>
                </c:pt>
                <c:pt idx="13">
                  <c:v>10.115000000000011</c:v>
                </c:pt>
                <c:pt idx="14">
                  <c:v>10.075000000000012</c:v>
                </c:pt>
                <c:pt idx="15">
                  <c:v>10.070000000000011</c:v>
                </c:pt>
                <c:pt idx="16">
                  <c:v>10.06500000000001</c:v>
                </c:pt>
                <c:pt idx="17">
                  <c:v>10.060000000000009</c:v>
                </c:pt>
                <c:pt idx="18">
                  <c:v>10.055000000000009</c:v>
                </c:pt>
                <c:pt idx="19">
                  <c:v>10.050000000000008</c:v>
                </c:pt>
                <c:pt idx="20">
                  <c:v>10.045000000000007</c:v>
                </c:pt>
                <c:pt idx="21">
                  <c:v>10.040000000000006</c:v>
                </c:pt>
                <c:pt idx="22">
                  <c:v>10.035000000000005</c:v>
                </c:pt>
                <c:pt idx="23">
                  <c:v>10.030000000000005</c:v>
                </c:pt>
                <c:pt idx="24">
                  <c:v>10.025000000000004</c:v>
                </c:pt>
                <c:pt idx="25">
                  <c:v>10.020000000000003</c:v>
                </c:pt>
                <c:pt idx="26">
                  <c:v>10.015000000000002</c:v>
                </c:pt>
                <c:pt idx="27">
                  <c:v>10.010000000000002</c:v>
                </c:pt>
                <c:pt idx="28">
                  <c:v>10.005000000000001</c:v>
                </c:pt>
                <c:pt idx="2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4-4B65-BCCF-EF51E7A0C8D2}"/>
            </c:ext>
          </c:extLst>
        </c:ser>
        <c:ser>
          <c:idx val="1"/>
          <c:order val="1"/>
          <c:tx>
            <c:v>zb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DS!$B$3:$B$140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DS!$D$3:$D$140</c:f>
              <c:numCache>
                <c:formatCode>0.000</c:formatCode>
                <c:ptCount val="138"/>
                <c:pt idx="0">
                  <c:v>10.535</c:v>
                </c:pt>
                <c:pt idx="1">
                  <c:v>10.495000000000001</c:v>
                </c:pt>
                <c:pt idx="2">
                  <c:v>10.455000000000002</c:v>
                </c:pt>
                <c:pt idx="3">
                  <c:v>10.415000000000003</c:v>
                </c:pt>
                <c:pt idx="4">
                  <c:v>10.375000000000004</c:v>
                </c:pt>
                <c:pt idx="5">
                  <c:v>10.335000000000004</c:v>
                </c:pt>
                <c:pt idx="6">
                  <c:v>10.295000000000005</c:v>
                </c:pt>
                <c:pt idx="7">
                  <c:v>10.255000000000006</c:v>
                </c:pt>
                <c:pt idx="8">
                  <c:v>10.215000000000007</c:v>
                </c:pt>
                <c:pt idx="9">
                  <c:v>10.175000000000008</c:v>
                </c:pt>
                <c:pt idx="10">
                  <c:v>10.135000000000009</c:v>
                </c:pt>
                <c:pt idx="11">
                  <c:v>10.09500000000001</c:v>
                </c:pt>
                <c:pt idx="12">
                  <c:v>10.05500000000001</c:v>
                </c:pt>
                <c:pt idx="13">
                  <c:v>10.015000000000011</c:v>
                </c:pt>
                <c:pt idx="14">
                  <c:v>9.9750000000000121</c:v>
                </c:pt>
                <c:pt idx="15">
                  <c:v>9.9700000000000113</c:v>
                </c:pt>
                <c:pt idx="16">
                  <c:v>9.9650000000000105</c:v>
                </c:pt>
                <c:pt idx="17">
                  <c:v>9.9600000000000097</c:v>
                </c:pt>
                <c:pt idx="18">
                  <c:v>9.955000000000009</c:v>
                </c:pt>
                <c:pt idx="19">
                  <c:v>9.9500000000000082</c:v>
                </c:pt>
                <c:pt idx="20">
                  <c:v>9.9450000000000074</c:v>
                </c:pt>
                <c:pt idx="21">
                  <c:v>9.9400000000000066</c:v>
                </c:pt>
                <c:pt idx="22">
                  <c:v>9.9350000000000058</c:v>
                </c:pt>
                <c:pt idx="23">
                  <c:v>9.930000000000005</c:v>
                </c:pt>
                <c:pt idx="24">
                  <c:v>9.9250000000000043</c:v>
                </c:pt>
                <c:pt idx="25">
                  <c:v>9.9200000000000035</c:v>
                </c:pt>
                <c:pt idx="26">
                  <c:v>9.9150000000000027</c:v>
                </c:pt>
                <c:pt idx="27">
                  <c:v>9.9100000000000019</c:v>
                </c:pt>
                <c:pt idx="28">
                  <c:v>9.9050000000000011</c:v>
                </c:pt>
                <c:pt idx="29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A4-4B65-BCCF-EF51E7A0C8D2}"/>
            </c:ext>
          </c:extLst>
        </c:ser>
        <c:ser>
          <c:idx val="2"/>
          <c:order val="2"/>
          <c:tx>
            <c:v>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DS!$B$3:$B$140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DS!$I$3:$I$140</c:f>
              <c:numCache>
                <c:formatCode>0.00</c:formatCode>
                <c:ptCount val="138"/>
                <c:pt idx="0">
                  <c:v>11.16486626832442</c:v>
                </c:pt>
                <c:pt idx="1">
                  <c:v>11.124866268324421</c:v>
                </c:pt>
                <c:pt idx="2">
                  <c:v>11.084866268324422</c:v>
                </c:pt>
                <c:pt idx="3">
                  <c:v>11.044866268324423</c:v>
                </c:pt>
                <c:pt idx="4">
                  <c:v>11.004866268324424</c:v>
                </c:pt>
                <c:pt idx="5">
                  <c:v>10.964866268324425</c:v>
                </c:pt>
                <c:pt idx="6">
                  <c:v>10.924866268324426</c:v>
                </c:pt>
                <c:pt idx="7">
                  <c:v>10.884866268324426</c:v>
                </c:pt>
                <c:pt idx="8">
                  <c:v>10.844866268324427</c:v>
                </c:pt>
                <c:pt idx="9">
                  <c:v>10.804866268324428</c:v>
                </c:pt>
                <c:pt idx="10">
                  <c:v>10.764866268324429</c:v>
                </c:pt>
                <c:pt idx="11">
                  <c:v>10.72486626832443</c:v>
                </c:pt>
                <c:pt idx="12">
                  <c:v>10.684866268324431</c:v>
                </c:pt>
                <c:pt idx="13">
                  <c:v>10.644866268324432</c:v>
                </c:pt>
                <c:pt idx="14">
                  <c:v>10.604866268324432</c:v>
                </c:pt>
                <c:pt idx="15">
                  <c:v>11.093143884427919</c:v>
                </c:pt>
                <c:pt idx="16">
                  <c:v>11.088143884427918</c:v>
                </c:pt>
                <c:pt idx="17">
                  <c:v>11.083143884427917</c:v>
                </c:pt>
                <c:pt idx="18">
                  <c:v>11.078143884427917</c:v>
                </c:pt>
                <c:pt idx="19">
                  <c:v>11.073143884427916</c:v>
                </c:pt>
                <c:pt idx="20">
                  <c:v>11.068143884427915</c:v>
                </c:pt>
                <c:pt idx="21">
                  <c:v>11.063143884427914</c:v>
                </c:pt>
                <c:pt idx="22">
                  <c:v>11.058143884427913</c:v>
                </c:pt>
                <c:pt idx="23">
                  <c:v>11.053143884427913</c:v>
                </c:pt>
                <c:pt idx="24">
                  <c:v>11.048143884427912</c:v>
                </c:pt>
                <c:pt idx="25">
                  <c:v>11.043143884427911</c:v>
                </c:pt>
                <c:pt idx="26">
                  <c:v>11.03814388442791</c:v>
                </c:pt>
                <c:pt idx="27">
                  <c:v>11.033143884427909</c:v>
                </c:pt>
                <c:pt idx="28">
                  <c:v>11.028143884427909</c:v>
                </c:pt>
                <c:pt idx="29">
                  <c:v>11.023143884427908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A4-4B65-BCCF-EF51E7A0C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18608"/>
        <c:axId val="369717624"/>
      </c:scatterChart>
      <c:valAx>
        <c:axId val="36971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Station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17624"/>
        <c:crosses val="autoZero"/>
        <c:crossBetween val="midCat"/>
      </c:valAx>
      <c:valAx>
        <c:axId val="36971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Elevation (masl)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1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Bed Level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Solution!$N$3:$N$140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Solution!$O$3:$O$140</c:f>
              <c:numCache>
                <c:formatCode>General</c:formatCode>
                <c:ptCount val="138"/>
                <c:pt idx="0">
                  <c:v>10.635</c:v>
                </c:pt>
                <c:pt idx="1">
                  <c:v>10.595000000000001</c:v>
                </c:pt>
                <c:pt idx="2">
                  <c:v>10.555000000000001</c:v>
                </c:pt>
                <c:pt idx="3">
                  <c:v>10.515000000000002</c:v>
                </c:pt>
                <c:pt idx="4">
                  <c:v>10.475000000000003</c:v>
                </c:pt>
                <c:pt idx="5">
                  <c:v>10.435000000000004</c:v>
                </c:pt>
                <c:pt idx="6">
                  <c:v>10.395000000000005</c:v>
                </c:pt>
                <c:pt idx="7">
                  <c:v>10.355000000000006</c:v>
                </c:pt>
                <c:pt idx="8">
                  <c:v>10.315000000000007</c:v>
                </c:pt>
                <c:pt idx="9">
                  <c:v>10.275000000000007</c:v>
                </c:pt>
                <c:pt idx="10">
                  <c:v>10.235000000000008</c:v>
                </c:pt>
                <c:pt idx="11">
                  <c:v>10.195000000000009</c:v>
                </c:pt>
                <c:pt idx="12">
                  <c:v>10.15500000000001</c:v>
                </c:pt>
                <c:pt idx="13">
                  <c:v>10.115000000000011</c:v>
                </c:pt>
                <c:pt idx="14">
                  <c:v>10.075000000000012</c:v>
                </c:pt>
                <c:pt idx="15">
                  <c:v>10.070000000000011</c:v>
                </c:pt>
                <c:pt idx="16">
                  <c:v>10.06500000000001</c:v>
                </c:pt>
                <c:pt idx="17">
                  <c:v>10.060000000000009</c:v>
                </c:pt>
                <c:pt idx="18">
                  <c:v>10.055000000000009</c:v>
                </c:pt>
                <c:pt idx="19">
                  <c:v>10.050000000000008</c:v>
                </c:pt>
                <c:pt idx="20">
                  <c:v>10.045000000000007</c:v>
                </c:pt>
                <c:pt idx="21">
                  <c:v>10.040000000000006</c:v>
                </c:pt>
                <c:pt idx="22">
                  <c:v>10.035000000000005</c:v>
                </c:pt>
                <c:pt idx="23">
                  <c:v>10.030000000000005</c:v>
                </c:pt>
                <c:pt idx="24">
                  <c:v>10.025000000000004</c:v>
                </c:pt>
                <c:pt idx="25">
                  <c:v>10.020000000000003</c:v>
                </c:pt>
                <c:pt idx="26">
                  <c:v>10.015000000000002</c:v>
                </c:pt>
                <c:pt idx="27">
                  <c:v>10.010000000000002</c:v>
                </c:pt>
                <c:pt idx="28">
                  <c:v>10.005000000000001</c:v>
                </c:pt>
                <c:pt idx="29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C-440B-A23D-417EB8F90D24}"/>
            </c:ext>
          </c:extLst>
        </c:ser>
        <c:ser>
          <c:idx val="1"/>
          <c:order val="1"/>
          <c:tx>
            <c:v>Bedrock Level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Solution!$N$3:$N$140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Solution!$P$3:$P$140</c:f>
              <c:numCache>
                <c:formatCode>0.000</c:formatCode>
                <c:ptCount val="138"/>
                <c:pt idx="0">
                  <c:v>10.535</c:v>
                </c:pt>
                <c:pt idx="1">
                  <c:v>10.495000000000001</c:v>
                </c:pt>
                <c:pt idx="2">
                  <c:v>10.455000000000002</c:v>
                </c:pt>
                <c:pt idx="3">
                  <c:v>10.415000000000003</c:v>
                </c:pt>
                <c:pt idx="4">
                  <c:v>10.375000000000004</c:v>
                </c:pt>
                <c:pt idx="5">
                  <c:v>10.335000000000004</c:v>
                </c:pt>
                <c:pt idx="6">
                  <c:v>10.295000000000005</c:v>
                </c:pt>
                <c:pt idx="7">
                  <c:v>10.255000000000006</c:v>
                </c:pt>
                <c:pt idx="8">
                  <c:v>10.215000000000007</c:v>
                </c:pt>
                <c:pt idx="9">
                  <c:v>10.175000000000008</c:v>
                </c:pt>
                <c:pt idx="10">
                  <c:v>10.135000000000009</c:v>
                </c:pt>
                <c:pt idx="11">
                  <c:v>10.09500000000001</c:v>
                </c:pt>
                <c:pt idx="12">
                  <c:v>10.05500000000001</c:v>
                </c:pt>
                <c:pt idx="13">
                  <c:v>10.015000000000011</c:v>
                </c:pt>
                <c:pt idx="14">
                  <c:v>9.9750000000000121</c:v>
                </c:pt>
                <c:pt idx="15">
                  <c:v>9.9700000000000113</c:v>
                </c:pt>
                <c:pt idx="16">
                  <c:v>9.9650000000000105</c:v>
                </c:pt>
                <c:pt idx="17">
                  <c:v>9.9600000000000097</c:v>
                </c:pt>
                <c:pt idx="18">
                  <c:v>9.955000000000009</c:v>
                </c:pt>
                <c:pt idx="19">
                  <c:v>9.9500000000000082</c:v>
                </c:pt>
                <c:pt idx="20">
                  <c:v>9.9450000000000074</c:v>
                </c:pt>
                <c:pt idx="21">
                  <c:v>9.9400000000000066</c:v>
                </c:pt>
                <c:pt idx="22">
                  <c:v>9.9350000000000058</c:v>
                </c:pt>
                <c:pt idx="23">
                  <c:v>9.930000000000005</c:v>
                </c:pt>
                <c:pt idx="24">
                  <c:v>9.9250000000000043</c:v>
                </c:pt>
                <c:pt idx="25">
                  <c:v>9.9200000000000035</c:v>
                </c:pt>
                <c:pt idx="26">
                  <c:v>9.9150000000000027</c:v>
                </c:pt>
                <c:pt idx="27">
                  <c:v>9.9100000000000019</c:v>
                </c:pt>
                <c:pt idx="28">
                  <c:v>9.9050000000000011</c:v>
                </c:pt>
                <c:pt idx="29">
                  <c:v>9.9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DC-440B-A23D-417EB8F90D24}"/>
            </c:ext>
          </c:extLst>
        </c:ser>
        <c:ser>
          <c:idx val="2"/>
          <c:order val="2"/>
          <c:tx>
            <c:v>Water Level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Solution!$N$3:$N$140</c:f>
              <c:numCache>
                <c:formatCode>General</c:formatCode>
                <c:ptCount val="138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</c:numCache>
            </c:numRef>
          </c:xVal>
          <c:yVal>
            <c:numRef>
              <c:f>Solution!$U$3:$U$140</c:f>
              <c:numCache>
                <c:formatCode>0.00</c:formatCode>
                <c:ptCount val="138"/>
                <c:pt idx="0">
                  <c:v>11.16486626832442</c:v>
                </c:pt>
                <c:pt idx="1">
                  <c:v>11.124866268324421</c:v>
                </c:pt>
                <c:pt idx="2">
                  <c:v>11.084866268324422</c:v>
                </c:pt>
                <c:pt idx="3">
                  <c:v>11.044866268324423</c:v>
                </c:pt>
                <c:pt idx="4">
                  <c:v>11.004866268324424</c:v>
                </c:pt>
                <c:pt idx="5">
                  <c:v>10.964866268324425</c:v>
                </c:pt>
                <c:pt idx="6">
                  <c:v>10.924866268324426</c:v>
                </c:pt>
                <c:pt idx="7">
                  <c:v>10.884866268324426</c:v>
                </c:pt>
                <c:pt idx="8">
                  <c:v>10.844866268324427</c:v>
                </c:pt>
                <c:pt idx="9">
                  <c:v>10.804866268324428</c:v>
                </c:pt>
                <c:pt idx="10">
                  <c:v>10.764866268324429</c:v>
                </c:pt>
                <c:pt idx="11">
                  <c:v>10.72486626832443</c:v>
                </c:pt>
                <c:pt idx="12">
                  <c:v>10.684866268324431</c:v>
                </c:pt>
                <c:pt idx="13">
                  <c:v>10.644866268324432</c:v>
                </c:pt>
                <c:pt idx="14">
                  <c:v>10.604866268324432</c:v>
                </c:pt>
                <c:pt idx="15">
                  <c:v>11.093143884427919</c:v>
                </c:pt>
                <c:pt idx="16">
                  <c:v>11.088143884427918</c:v>
                </c:pt>
                <c:pt idx="17">
                  <c:v>11.083143884427917</c:v>
                </c:pt>
                <c:pt idx="18">
                  <c:v>11.078143884427917</c:v>
                </c:pt>
                <c:pt idx="19">
                  <c:v>11.073143884427916</c:v>
                </c:pt>
                <c:pt idx="20">
                  <c:v>11.068143884427915</c:v>
                </c:pt>
                <c:pt idx="21">
                  <c:v>11.063143884427914</c:v>
                </c:pt>
                <c:pt idx="22">
                  <c:v>11.058143884427913</c:v>
                </c:pt>
                <c:pt idx="23">
                  <c:v>11.053143884427913</c:v>
                </c:pt>
                <c:pt idx="24">
                  <c:v>11.048143884427912</c:v>
                </c:pt>
                <c:pt idx="25">
                  <c:v>11.043143884427911</c:v>
                </c:pt>
                <c:pt idx="26">
                  <c:v>11.03814388442791</c:v>
                </c:pt>
                <c:pt idx="27">
                  <c:v>11.033143884427909</c:v>
                </c:pt>
                <c:pt idx="28">
                  <c:v>11.028143884427909</c:v>
                </c:pt>
                <c:pt idx="29">
                  <c:v>11.023143884427908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DC-440B-A23D-417EB8F90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718608"/>
        <c:axId val="369717624"/>
      </c:scatterChart>
      <c:valAx>
        <c:axId val="36971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900">
                    <a:latin typeface="Arial" panose="020B0604020202020204" pitchFamily="34" charset="0"/>
                    <a:cs typeface="Arial" panose="020B0604020202020204" pitchFamily="34" charset="0"/>
                  </a:rPr>
                  <a:t>Station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69717624"/>
        <c:crosses val="autoZero"/>
        <c:crossBetween val="midCat"/>
      </c:valAx>
      <c:valAx>
        <c:axId val="36971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900">
                    <a:latin typeface="Arial" panose="020B0604020202020204" pitchFamily="34" charset="0"/>
                    <a:cs typeface="Arial" panose="020B0604020202020204" pitchFamily="34" charset="0"/>
                  </a:rPr>
                  <a:t>Elevation (masl)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6971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14</xdr:row>
          <xdr:rowOff>104775</xdr:rowOff>
        </xdr:from>
        <xdr:to>
          <xdr:col>11</xdr:col>
          <xdr:colOff>361950</xdr:colOff>
          <xdr:row>17</xdr:row>
          <xdr:rowOff>47625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0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Grid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133349</xdr:colOff>
      <xdr:row>11</xdr:row>
      <xdr:rowOff>38100</xdr:rowOff>
    </xdr:from>
    <xdr:to>
      <xdr:col>26</xdr:col>
      <xdr:colOff>656549</xdr:colOff>
      <xdr:row>32</xdr:row>
      <xdr:rowOff>9075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12</xdr:row>
          <xdr:rowOff>104775</xdr:rowOff>
        </xdr:from>
        <xdr:to>
          <xdr:col>11</xdr:col>
          <xdr:colOff>371475</xdr:colOff>
          <xdr:row>13</xdr:row>
          <xdr:rowOff>190500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0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Exner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104774</xdr:colOff>
      <xdr:row>33</xdr:row>
      <xdr:rowOff>95251</xdr:rowOff>
    </xdr:from>
    <xdr:to>
      <xdr:col>26</xdr:col>
      <xdr:colOff>627974</xdr:colOff>
      <xdr:row>55</xdr:row>
      <xdr:rowOff>132901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8</xdr:row>
          <xdr:rowOff>142875</xdr:rowOff>
        </xdr:from>
        <xdr:to>
          <xdr:col>11</xdr:col>
          <xdr:colOff>400050</xdr:colOff>
          <xdr:row>10</xdr:row>
          <xdr:rowOff>95250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0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152400</xdr:colOff>
      <xdr:row>17</xdr:row>
      <xdr:rowOff>114300</xdr:rowOff>
    </xdr:from>
    <xdr:to>
      <xdr:col>36</xdr:col>
      <xdr:colOff>37200</xdr:colOff>
      <xdr:row>45</xdr:row>
      <xdr:rowOff>80400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10</xdr:row>
          <xdr:rowOff>57150</xdr:rowOff>
        </xdr:from>
        <xdr:to>
          <xdr:col>25</xdr:col>
          <xdr:colOff>247650</xdr:colOff>
          <xdr:row>11</xdr:row>
          <xdr:rowOff>123825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12</xdr:row>
          <xdr:rowOff>57150</xdr:rowOff>
        </xdr:from>
        <xdr:to>
          <xdr:col>25</xdr:col>
          <xdr:colOff>238125</xdr:colOff>
          <xdr:row>13</xdr:row>
          <xdr:rowOff>104775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152400</xdr:colOff>
      <xdr:row>17</xdr:row>
      <xdr:rowOff>114300</xdr:rowOff>
    </xdr:from>
    <xdr:to>
      <xdr:col>36</xdr:col>
      <xdr:colOff>37200</xdr:colOff>
      <xdr:row>45</xdr:row>
      <xdr:rowOff>80400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10</xdr:row>
          <xdr:rowOff>57150</xdr:rowOff>
        </xdr:from>
        <xdr:to>
          <xdr:col>25</xdr:col>
          <xdr:colOff>247650</xdr:colOff>
          <xdr:row>11</xdr:row>
          <xdr:rowOff>123825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12</xdr:row>
          <xdr:rowOff>57150</xdr:rowOff>
        </xdr:from>
        <xdr:to>
          <xdr:col>25</xdr:col>
          <xdr:colOff>238125</xdr:colOff>
          <xdr:row>13</xdr:row>
          <xdr:rowOff>104775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85725</xdr:colOff>
          <xdr:row>10</xdr:row>
          <xdr:rowOff>57150</xdr:rowOff>
        </xdr:from>
        <xdr:to>
          <xdr:col>25</xdr:col>
          <xdr:colOff>247650</xdr:colOff>
          <xdr:row>11</xdr:row>
          <xdr:rowOff>123825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2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66675</xdr:colOff>
          <xdr:row>12</xdr:row>
          <xdr:rowOff>57150</xdr:rowOff>
        </xdr:from>
        <xdr:to>
          <xdr:col>25</xdr:col>
          <xdr:colOff>238125</xdr:colOff>
          <xdr:row>13</xdr:row>
          <xdr:rowOff>104775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2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304800</xdr:colOff>
      <xdr:row>14</xdr:row>
      <xdr:rowOff>123825</xdr:rowOff>
    </xdr:from>
    <xdr:to>
      <xdr:col>10</xdr:col>
      <xdr:colOff>398400</xdr:colOff>
      <xdr:row>36</xdr:row>
      <xdr:rowOff>161475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</xdr:row>
          <xdr:rowOff>0</xdr:rowOff>
        </xdr:from>
        <xdr:to>
          <xdr:col>9</xdr:col>
          <xdr:colOff>542925</xdr:colOff>
          <xdr:row>2</xdr:row>
          <xdr:rowOff>28575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Solution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773BC-5B09-4EFE-8760-67588323A0DB}">
  <sheetPr codeName="Sheet3"/>
  <dimension ref="A1:AF176"/>
  <sheetViews>
    <sheetView tabSelected="1" workbookViewId="0">
      <selection activeCell="A27" sqref="A27:L56"/>
    </sheetView>
  </sheetViews>
  <sheetFormatPr defaultRowHeight="12.75" x14ac:dyDescent="0.2"/>
  <cols>
    <col min="3" max="3" width="12.42578125" bestFit="1" customWidth="1"/>
    <col min="5" max="7" width="11.7109375" customWidth="1"/>
    <col min="13" max="13" width="9.140625" style="6"/>
    <col min="15" max="15" width="9.140625" customWidth="1"/>
    <col min="16" max="17" width="9.7109375" customWidth="1"/>
    <col min="19" max="19" width="10.7109375" customWidth="1"/>
    <col min="27" max="27" width="11" bestFit="1" customWidth="1"/>
  </cols>
  <sheetData>
    <row r="1" spans="1:20" ht="15.75" x14ac:dyDescent="0.3">
      <c r="A1" s="15" t="s">
        <v>17</v>
      </c>
      <c r="B1" s="30">
        <v>10.635</v>
      </c>
      <c r="C1" t="s">
        <v>9</v>
      </c>
      <c r="E1" t="s">
        <v>54</v>
      </c>
      <c r="F1" s="30">
        <v>-0.1</v>
      </c>
      <c r="G1" t="s">
        <v>8</v>
      </c>
      <c r="I1" t="s">
        <v>72</v>
      </c>
      <c r="J1" s="30">
        <v>2</v>
      </c>
      <c r="N1" s="21" t="s">
        <v>55</v>
      </c>
      <c r="T1">
        <v>20</v>
      </c>
    </row>
    <row r="2" spans="1:20" x14ac:dyDescent="0.2">
      <c r="L2" s="6"/>
    </row>
    <row r="3" spans="1:20" ht="15.75" x14ac:dyDescent="0.2">
      <c r="A3" s="14" t="s">
        <v>39</v>
      </c>
      <c r="B3" s="14" t="s">
        <v>41</v>
      </c>
      <c r="C3" s="14" t="s">
        <v>42</v>
      </c>
      <c r="D3" s="14" t="s">
        <v>40</v>
      </c>
      <c r="E3" s="14" t="s">
        <v>51</v>
      </c>
      <c r="F3" s="14" t="s">
        <v>61</v>
      </c>
      <c r="G3" s="14" t="s">
        <v>62</v>
      </c>
      <c r="H3" s="14" t="s">
        <v>43</v>
      </c>
      <c r="I3" s="14" t="s">
        <v>44</v>
      </c>
      <c r="J3" s="14" t="s">
        <v>53</v>
      </c>
      <c r="N3" t="s">
        <v>58</v>
      </c>
      <c r="O3" s="30">
        <v>0.7</v>
      </c>
      <c r="P3" t="s">
        <v>59</v>
      </c>
      <c r="S3" t="s">
        <v>73</v>
      </c>
      <c r="T3">
        <v>1</v>
      </c>
    </row>
    <row r="4" spans="1:20" ht="13.5" thickBot="1" x14ac:dyDescent="0.25">
      <c r="A4" s="47">
        <v>1</v>
      </c>
      <c r="B4" s="47">
        <v>100</v>
      </c>
      <c r="C4" s="47">
        <v>170</v>
      </c>
      <c r="D4" s="47">
        <v>5</v>
      </c>
      <c r="E4" s="47">
        <v>10</v>
      </c>
      <c r="F4" s="47">
        <v>0</v>
      </c>
      <c r="G4" s="47">
        <v>0</v>
      </c>
      <c r="H4" s="47">
        <v>8.0000000000000002E-3</v>
      </c>
      <c r="I4" s="43">
        <v>0.52986626832442085</v>
      </c>
      <c r="J4" s="48">
        <v>0.74153273541536779</v>
      </c>
      <c r="O4" s="35">
        <f>O3/(100*365*24*60*60)</f>
        <v>2.219685438863521E-10</v>
      </c>
      <c r="P4" t="s">
        <v>32</v>
      </c>
      <c r="S4" t="s">
        <v>74</v>
      </c>
      <c r="T4" t="s">
        <v>100</v>
      </c>
    </row>
    <row r="5" spans="1:20" ht="13.5" thickTop="1" x14ac:dyDescent="0.2">
      <c r="A5" s="47">
        <v>2</v>
      </c>
      <c r="B5" s="47">
        <v>170</v>
      </c>
      <c r="C5" s="47">
        <v>245</v>
      </c>
      <c r="D5" s="47">
        <v>5</v>
      </c>
      <c r="E5" s="47">
        <v>10</v>
      </c>
      <c r="F5" s="47">
        <v>0</v>
      </c>
      <c r="G5" s="47">
        <v>0</v>
      </c>
      <c r="H5" s="47">
        <v>1E-3</v>
      </c>
      <c r="I5" s="43">
        <v>1.0231438844279075</v>
      </c>
      <c r="J5" s="48">
        <v>0.74153273541536779</v>
      </c>
      <c r="S5" t="s">
        <v>101</v>
      </c>
      <c r="T5" s="30" t="s">
        <v>108</v>
      </c>
    </row>
    <row r="6" spans="1:20" x14ac:dyDescent="0.2">
      <c r="A6" s="47"/>
      <c r="B6" s="47"/>
      <c r="C6" s="47"/>
      <c r="D6" s="47"/>
      <c r="E6" s="47"/>
      <c r="F6" s="47"/>
      <c r="G6" s="47"/>
      <c r="H6" s="47"/>
      <c r="I6" s="43"/>
      <c r="J6" s="48"/>
    </row>
    <row r="7" spans="1:20" ht="16.5" thickBot="1" x14ac:dyDescent="0.35">
      <c r="N7" t="s">
        <v>68</v>
      </c>
      <c r="O7" s="34">
        <f>MAX(N11:N100)</f>
        <v>1000</v>
      </c>
      <c r="P7" t="s">
        <v>60</v>
      </c>
      <c r="S7" t="s">
        <v>93</v>
      </c>
      <c r="T7">
        <v>0</v>
      </c>
    </row>
    <row r="8" spans="1:20" ht="13.5" thickTop="1" x14ac:dyDescent="0.2">
      <c r="S8" t="s">
        <v>94</v>
      </c>
      <c r="T8">
        <v>0</v>
      </c>
    </row>
    <row r="9" spans="1:20" x14ac:dyDescent="0.2">
      <c r="N9" s="26">
        <v>14</v>
      </c>
      <c r="O9" s="26">
        <v>15</v>
      </c>
      <c r="P9" s="26">
        <v>16</v>
      </c>
      <c r="Q9" s="26">
        <v>17</v>
      </c>
      <c r="S9" t="s">
        <v>102</v>
      </c>
      <c r="T9">
        <v>0</v>
      </c>
    </row>
    <row r="10" spans="1:20" ht="14.25" x14ac:dyDescent="0.2">
      <c r="N10" s="45" t="s">
        <v>56</v>
      </c>
      <c r="O10" s="45" t="s">
        <v>105</v>
      </c>
      <c r="P10" s="45" t="s">
        <v>106</v>
      </c>
      <c r="Q10" s="45" t="s">
        <v>107</v>
      </c>
    </row>
    <row r="11" spans="1:20" ht="14.25" x14ac:dyDescent="0.2">
      <c r="A11" t="s">
        <v>7</v>
      </c>
      <c r="B11" s="30">
        <v>9.81</v>
      </c>
      <c r="C11" t="s">
        <v>11</v>
      </c>
      <c r="N11" s="41">
        <v>0</v>
      </c>
      <c r="O11" s="42">
        <v>20</v>
      </c>
      <c r="P11" s="43">
        <v>11.4</v>
      </c>
      <c r="Q11" s="44">
        <v>10.6</v>
      </c>
      <c r="R11" s="4"/>
    </row>
    <row r="12" spans="1:20" x14ac:dyDescent="0.2">
      <c r="N12" s="41">
        <v>1000</v>
      </c>
      <c r="O12" s="42">
        <v>20</v>
      </c>
      <c r="P12" s="43">
        <v>11.4</v>
      </c>
      <c r="Q12" s="44">
        <v>10.6</v>
      </c>
    </row>
    <row r="13" spans="1:20" x14ac:dyDescent="0.2">
      <c r="A13" t="s">
        <v>49</v>
      </c>
      <c r="E13" t="s">
        <v>36</v>
      </c>
      <c r="N13" s="41"/>
      <c r="O13" s="42"/>
      <c r="P13" s="43"/>
      <c r="Q13" s="44"/>
    </row>
    <row r="14" spans="1:20" ht="16.5" thickBot="1" x14ac:dyDescent="0.35">
      <c r="A14" t="s">
        <v>50</v>
      </c>
      <c r="B14" s="29">
        <f>O11</f>
        <v>20</v>
      </c>
      <c r="C14" t="s">
        <v>14</v>
      </c>
      <c r="E14" t="s">
        <v>18</v>
      </c>
      <c r="F14" s="30">
        <f>0.8/1000</f>
        <v>8.0000000000000004E-4</v>
      </c>
      <c r="G14" t="s">
        <v>8</v>
      </c>
      <c r="N14" s="41"/>
      <c r="O14" s="42"/>
      <c r="P14" s="43"/>
      <c r="Q14" s="44"/>
    </row>
    <row r="15" spans="1:20" ht="17.25" thickTop="1" thickBot="1" x14ac:dyDescent="0.35">
      <c r="A15" s="1" t="s">
        <v>16</v>
      </c>
      <c r="B15" s="30">
        <v>1000</v>
      </c>
      <c r="C15" s="1" t="s">
        <v>13</v>
      </c>
      <c r="E15" t="s">
        <v>10</v>
      </c>
      <c r="F15" s="32">
        <f>((F14)^(1/6))/21</f>
        <v>1.4508717894715074E-2</v>
      </c>
      <c r="G15" t="s">
        <v>19</v>
      </c>
      <c r="N15" s="41"/>
      <c r="O15" s="42"/>
      <c r="P15" s="43"/>
      <c r="Q15" s="44"/>
    </row>
    <row r="16" spans="1:20" ht="16.5" thickTop="1" x14ac:dyDescent="0.3">
      <c r="A16" t="s">
        <v>25</v>
      </c>
      <c r="B16" s="31">
        <v>9.9999999999999995E-7</v>
      </c>
      <c r="C16" t="s">
        <v>26</v>
      </c>
      <c r="E16" s="1" t="s">
        <v>15</v>
      </c>
      <c r="F16" s="30">
        <v>2650</v>
      </c>
      <c r="G16" s="1" t="s">
        <v>13</v>
      </c>
      <c r="N16" s="41"/>
      <c r="O16" s="42"/>
      <c r="P16" s="43"/>
      <c r="Q16" s="44"/>
    </row>
    <row r="17" spans="1:17" ht="16.5" thickBot="1" x14ac:dyDescent="0.35">
      <c r="E17" t="s">
        <v>103</v>
      </c>
      <c r="F17" s="33">
        <f>(F14*SQRT(F20*F14*B11))/B16</f>
        <v>91.035641371937416</v>
      </c>
      <c r="N17" s="30"/>
      <c r="O17" s="42"/>
      <c r="P17" s="43"/>
      <c r="Q17" s="44"/>
    </row>
    <row r="18" spans="1:17" ht="17.25" thickTop="1" thickBot="1" x14ac:dyDescent="0.35">
      <c r="A18" t="s">
        <v>69</v>
      </c>
      <c r="B18">
        <v>32</v>
      </c>
      <c r="E18" t="s">
        <v>47</v>
      </c>
      <c r="F18" s="32">
        <f>IF(F17&gt;282.84,0.045,IF(F17&lt;6.61,0.1414*(F17^-0.2306),((1+(0.0223*F17)^2.8358)^0.3542)/(3.0946*F17^0.6769)))</f>
        <v>3.2468796845652986E-2</v>
      </c>
      <c r="N18" s="30"/>
      <c r="O18" s="42"/>
      <c r="P18" s="43"/>
      <c r="Q18" s="44"/>
    </row>
    <row r="19" spans="1:17" ht="17.25" thickTop="1" thickBot="1" x14ac:dyDescent="0.35">
      <c r="E19" t="s">
        <v>46</v>
      </c>
      <c r="F19" s="33">
        <f>F18*B15*B11*F20*F14</f>
        <v>0.42044494411372973</v>
      </c>
      <c r="G19" t="s">
        <v>48</v>
      </c>
      <c r="N19" s="30"/>
      <c r="O19" s="42"/>
      <c r="P19" s="43"/>
      <c r="Q19" s="44"/>
    </row>
    <row r="20" spans="1:17" ht="13.5" thickTop="1" x14ac:dyDescent="0.2">
      <c r="E20" t="s">
        <v>27</v>
      </c>
      <c r="F20" s="30">
        <v>1.65</v>
      </c>
      <c r="N20" s="41"/>
      <c r="O20" s="42"/>
      <c r="P20" s="43"/>
      <c r="Q20" s="44"/>
    </row>
    <row r="21" spans="1:17" x14ac:dyDescent="0.2">
      <c r="E21" t="s">
        <v>28</v>
      </c>
      <c r="F21" s="30">
        <v>35</v>
      </c>
      <c r="G21" s="3" t="s">
        <v>29</v>
      </c>
      <c r="N21" s="8"/>
      <c r="O21" s="20"/>
      <c r="P21" s="9"/>
      <c r="Q21" s="19"/>
    </row>
    <row r="22" spans="1:17" x14ac:dyDescent="0.2">
      <c r="E22" s="3" t="s">
        <v>65</v>
      </c>
      <c r="F22" s="30">
        <v>0.4</v>
      </c>
      <c r="N22" s="8"/>
      <c r="O22" s="20"/>
      <c r="P22" s="19"/>
      <c r="Q22" s="9"/>
    </row>
    <row r="23" spans="1:17" ht="15.75" x14ac:dyDescent="0.3">
      <c r="E23" t="s">
        <v>80</v>
      </c>
      <c r="F23" s="30">
        <f>8/1000</f>
        <v>8.0000000000000002E-3</v>
      </c>
      <c r="N23" s="8"/>
      <c r="O23" s="20"/>
      <c r="P23" s="19"/>
      <c r="Q23" s="9"/>
    </row>
    <row r="24" spans="1:17" x14ac:dyDescent="0.2">
      <c r="N24" s="8"/>
    </row>
    <row r="25" spans="1:17" x14ac:dyDescent="0.2">
      <c r="A25" s="26">
        <v>1</v>
      </c>
      <c r="B25" s="26">
        <v>2</v>
      </c>
      <c r="C25" s="26">
        <v>3</v>
      </c>
      <c r="D25" s="26">
        <v>4</v>
      </c>
      <c r="E25" s="26">
        <v>5</v>
      </c>
      <c r="F25" s="26">
        <v>6</v>
      </c>
      <c r="G25" s="26">
        <v>7</v>
      </c>
      <c r="H25" s="26">
        <v>8</v>
      </c>
      <c r="I25" s="26">
        <v>9</v>
      </c>
      <c r="J25" s="26">
        <v>10</v>
      </c>
      <c r="K25" s="26">
        <v>11</v>
      </c>
      <c r="L25" s="26">
        <v>12</v>
      </c>
      <c r="N25" s="8"/>
    </row>
    <row r="26" spans="1:17" ht="15.75" x14ac:dyDescent="0.2">
      <c r="A26" s="14" t="s">
        <v>0</v>
      </c>
      <c r="B26" s="14" t="s">
        <v>1</v>
      </c>
      <c r="C26" s="14" t="s">
        <v>2</v>
      </c>
      <c r="D26" s="14" t="s">
        <v>52</v>
      </c>
      <c r="E26" s="14" t="s">
        <v>51</v>
      </c>
      <c r="F26" s="14" t="s">
        <v>61</v>
      </c>
      <c r="G26" s="14" t="s">
        <v>62</v>
      </c>
      <c r="H26" s="14" t="s">
        <v>3</v>
      </c>
      <c r="I26" s="14" t="s">
        <v>6</v>
      </c>
      <c r="J26" s="14" t="s">
        <v>24</v>
      </c>
      <c r="K26" s="14" t="s">
        <v>23</v>
      </c>
      <c r="L26" s="14" t="s">
        <v>104</v>
      </c>
      <c r="N26" s="8"/>
    </row>
    <row r="27" spans="1:17" x14ac:dyDescent="0.2">
      <c r="A27" s="8">
        <v>1</v>
      </c>
      <c r="B27" s="14">
        <v>100</v>
      </c>
      <c r="C27" s="14">
        <v>10.635</v>
      </c>
      <c r="D27" s="23">
        <v>10.535</v>
      </c>
      <c r="E27" s="19">
        <v>10</v>
      </c>
      <c r="F27" s="20">
        <v>0</v>
      </c>
      <c r="G27" s="20">
        <v>0</v>
      </c>
      <c r="H27" s="9">
        <v>0.52986626832442085</v>
      </c>
      <c r="I27" s="5">
        <v>11.16486626832442</v>
      </c>
      <c r="J27" s="9">
        <v>11.16486626832442</v>
      </c>
      <c r="K27" s="9">
        <v>11.376532735415367</v>
      </c>
      <c r="L27" s="10">
        <v>0</v>
      </c>
      <c r="N27" s="8"/>
    </row>
    <row r="28" spans="1:17" x14ac:dyDescent="0.2">
      <c r="A28" s="8">
        <v>2</v>
      </c>
      <c r="B28" s="14">
        <v>105</v>
      </c>
      <c r="C28" s="14">
        <v>10.595000000000001</v>
      </c>
      <c r="D28" s="23">
        <v>10.495000000000001</v>
      </c>
      <c r="E28" s="19">
        <v>10</v>
      </c>
      <c r="F28" s="20">
        <v>0</v>
      </c>
      <c r="G28" s="20">
        <v>0</v>
      </c>
      <c r="H28" s="9">
        <v>0.52986626832442085</v>
      </c>
      <c r="I28" s="5">
        <v>11.124866268324421</v>
      </c>
      <c r="J28" s="9">
        <v>11.124866268324421</v>
      </c>
      <c r="K28" s="9">
        <v>11.336532735415368</v>
      </c>
      <c r="L28" s="10">
        <v>0</v>
      </c>
      <c r="N28" s="8"/>
    </row>
    <row r="29" spans="1:17" x14ac:dyDescent="0.2">
      <c r="A29" s="8">
        <v>3</v>
      </c>
      <c r="B29" s="14">
        <v>110</v>
      </c>
      <c r="C29" s="14">
        <v>10.555000000000001</v>
      </c>
      <c r="D29" s="23">
        <v>10.455000000000002</v>
      </c>
      <c r="E29" s="19">
        <v>10</v>
      </c>
      <c r="F29" s="20">
        <v>0</v>
      </c>
      <c r="G29" s="20">
        <v>0</v>
      </c>
      <c r="H29" s="9">
        <v>0.52986626832442085</v>
      </c>
      <c r="I29" s="5">
        <v>11.084866268324422</v>
      </c>
      <c r="J29" s="9">
        <v>11.084866268324422</v>
      </c>
      <c r="K29" s="9">
        <v>11.296532735415369</v>
      </c>
      <c r="L29" s="10">
        <v>0</v>
      </c>
      <c r="N29" s="8"/>
    </row>
    <row r="30" spans="1:17" x14ac:dyDescent="0.2">
      <c r="A30" s="8">
        <v>4</v>
      </c>
      <c r="B30" s="14">
        <v>115</v>
      </c>
      <c r="C30" s="14">
        <v>10.515000000000002</v>
      </c>
      <c r="D30" s="23">
        <v>10.415000000000003</v>
      </c>
      <c r="E30" s="19">
        <v>10</v>
      </c>
      <c r="F30" s="20">
        <v>0</v>
      </c>
      <c r="G30" s="20">
        <v>0</v>
      </c>
      <c r="H30" s="9">
        <v>0.52986626832442085</v>
      </c>
      <c r="I30" s="5">
        <v>11.044866268324423</v>
      </c>
      <c r="J30" s="9">
        <v>11.044866268324423</v>
      </c>
      <c r="K30" s="9">
        <v>11.256532735415369</v>
      </c>
      <c r="L30" s="10">
        <v>0</v>
      </c>
      <c r="N30" s="8"/>
    </row>
    <row r="31" spans="1:17" x14ac:dyDescent="0.2">
      <c r="A31" s="8">
        <v>5</v>
      </c>
      <c r="B31" s="14">
        <v>120</v>
      </c>
      <c r="C31" s="14">
        <v>10.475000000000003</v>
      </c>
      <c r="D31" s="23">
        <v>10.375000000000004</v>
      </c>
      <c r="E31" s="19">
        <v>10</v>
      </c>
      <c r="F31" s="20">
        <v>0</v>
      </c>
      <c r="G31" s="20">
        <v>0</v>
      </c>
      <c r="H31" s="9">
        <v>0.52986626832442085</v>
      </c>
      <c r="I31" s="5">
        <v>11.004866268324424</v>
      </c>
      <c r="J31" s="9">
        <v>11.004866268324424</v>
      </c>
      <c r="K31" s="9">
        <v>11.21653273541537</v>
      </c>
      <c r="L31" s="10">
        <v>0</v>
      </c>
      <c r="M31" s="46"/>
      <c r="N31" s="8"/>
    </row>
    <row r="32" spans="1:17" x14ac:dyDescent="0.2">
      <c r="A32" s="8">
        <v>6</v>
      </c>
      <c r="B32" s="14">
        <v>125</v>
      </c>
      <c r="C32" s="23">
        <v>10.435000000000004</v>
      </c>
      <c r="D32" s="23">
        <v>10.335000000000004</v>
      </c>
      <c r="E32" s="19">
        <v>10</v>
      </c>
      <c r="F32" s="20">
        <v>0</v>
      </c>
      <c r="G32" s="20">
        <v>0</v>
      </c>
      <c r="H32" s="9">
        <v>0.52986626832442085</v>
      </c>
      <c r="I32" s="5">
        <v>10.964866268324425</v>
      </c>
      <c r="J32" s="9">
        <v>10.964866268324425</v>
      </c>
      <c r="K32" s="9">
        <v>11.176532735415371</v>
      </c>
      <c r="L32" s="10">
        <v>0</v>
      </c>
      <c r="N32" s="8"/>
    </row>
    <row r="33" spans="1:32" x14ac:dyDescent="0.2">
      <c r="A33" s="8">
        <v>7</v>
      </c>
      <c r="B33" s="14">
        <v>130</v>
      </c>
      <c r="C33" s="23">
        <v>10.395000000000005</v>
      </c>
      <c r="D33" s="23">
        <v>10.295000000000005</v>
      </c>
      <c r="E33" s="19">
        <v>10</v>
      </c>
      <c r="F33" s="20">
        <v>0</v>
      </c>
      <c r="G33" s="20">
        <v>0</v>
      </c>
      <c r="H33" s="9">
        <v>0.52986626832442085</v>
      </c>
      <c r="I33" s="5">
        <v>10.924866268324426</v>
      </c>
      <c r="J33" s="9">
        <v>10.924866268324426</v>
      </c>
      <c r="K33" s="9">
        <v>11.136532735415372</v>
      </c>
      <c r="L33" s="10">
        <v>0</v>
      </c>
      <c r="N33" s="8"/>
      <c r="O33" s="14"/>
      <c r="P33" s="14"/>
      <c r="Q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">
      <c r="A34" s="8">
        <v>8</v>
      </c>
      <c r="B34" s="14">
        <v>135</v>
      </c>
      <c r="C34" s="23">
        <v>10.355000000000006</v>
      </c>
      <c r="D34" s="23">
        <v>10.255000000000006</v>
      </c>
      <c r="E34" s="19">
        <v>10</v>
      </c>
      <c r="F34" s="20">
        <v>0</v>
      </c>
      <c r="G34" s="20">
        <v>0</v>
      </c>
      <c r="H34" s="9">
        <v>0.52986626832442085</v>
      </c>
      <c r="I34" s="5">
        <v>10.884866268324426</v>
      </c>
      <c r="J34" s="9">
        <v>10.884866268324426</v>
      </c>
      <c r="K34" s="9">
        <v>11.096532735415373</v>
      </c>
      <c r="L34" s="10">
        <v>0</v>
      </c>
      <c r="N34" s="8"/>
      <c r="O34" s="14"/>
      <c r="P34" s="14"/>
      <c r="Q34" s="14"/>
      <c r="S34" s="14"/>
      <c r="T34" s="14"/>
      <c r="U34" s="14"/>
      <c r="V34" s="2"/>
      <c r="W34" s="17"/>
      <c r="X34" s="2"/>
      <c r="Y34" s="2"/>
      <c r="AB34" s="2"/>
    </row>
    <row r="35" spans="1:32" x14ac:dyDescent="0.2">
      <c r="A35" s="8">
        <v>9</v>
      </c>
      <c r="B35" s="14">
        <v>140</v>
      </c>
      <c r="C35" s="23">
        <v>10.315000000000007</v>
      </c>
      <c r="D35" s="23">
        <v>10.215000000000007</v>
      </c>
      <c r="E35" s="19">
        <v>10</v>
      </c>
      <c r="F35" s="20">
        <v>0</v>
      </c>
      <c r="G35" s="20">
        <v>0</v>
      </c>
      <c r="H35" s="9">
        <v>0.52986626832442085</v>
      </c>
      <c r="I35" s="5">
        <v>10.844866268324427</v>
      </c>
      <c r="J35" s="9">
        <v>10.844866268324427</v>
      </c>
      <c r="K35" s="9">
        <v>11.056532735415374</v>
      </c>
      <c r="L35" s="10">
        <v>0</v>
      </c>
      <c r="N35" s="24"/>
      <c r="O35" s="9"/>
      <c r="P35" s="5"/>
      <c r="Q35" s="10"/>
      <c r="S35" s="13"/>
      <c r="T35" s="5"/>
      <c r="U35" s="5"/>
      <c r="V35" s="5"/>
      <c r="W35" s="5"/>
      <c r="X35" s="5"/>
      <c r="Y35" s="11"/>
      <c r="Z35" s="8"/>
      <c r="AA35" s="10"/>
      <c r="AB35" s="5"/>
      <c r="AC35" s="10"/>
      <c r="AD35" s="9"/>
      <c r="AE35" s="5"/>
      <c r="AF35" s="11"/>
    </row>
    <row r="36" spans="1:32" x14ac:dyDescent="0.2">
      <c r="A36" s="8">
        <v>10</v>
      </c>
      <c r="B36" s="14">
        <v>145</v>
      </c>
      <c r="C36" s="23">
        <v>10.275000000000007</v>
      </c>
      <c r="D36" s="23">
        <v>10.175000000000008</v>
      </c>
      <c r="E36" s="19">
        <v>10</v>
      </c>
      <c r="F36" s="20">
        <v>0</v>
      </c>
      <c r="G36" s="20">
        <v>0</v>
      </c>
      <c r="H36" s="9">
        <v>0.52986626832442085</v>
      </c>
      <c r="I36" s="5">
        <v>10.804866268324428</v>
      </c>
      <c r="J36" s="9">
        <v>10.804866268324428</v>
      </c>
      <c r="K36" s="9">
        <v>11.016532735415375</v>
      </c>
      <c r="L36" s="10">
        <v>0</v>
      </c>
      <c r="N36" s="24"/>
      <c r="O36" s="9"/>
      <c r="P36" s="5"/>
      <c r="Q36" s="10"/>
      <c r="S36" s="13"/>
      <c r="T36" s="5"/>
      <c r="U36" s="5"/>
      <c r="V36" s="5"/>
      <c r="W36" s="5"/>
      <c r="X36" s="5"/>
      <c r="Y36" s="11"/>
      <c r="Z36" s="8"/>
      <c r="AA36" s="10"/>
      <c r="AB36" s="5"/>
      <c r="AC36" s="10"/>
      <c r="AD36" s="9"/>
      <c r="AE36" s="5"/>
      <c r="AF36" s="11"/>
    </row>
    <row r="37" spans="1:32" x14ac:dyDescent="0.2">
      <c r="A37" s="8">
        <v>11</v>
      </c>
      <c r="B37" s="14">
        <v>150</v>
      </c>
      <c r="C37" s="14">
        <v>10.235000000000008</v>
      </c>
      <c r="D37" s="23">
        <v>10.135000000000009</v>
      </c>
      <c r="E37" s="19">
        <v>10</v>
      </c>
      <c r="F37" s="20">
        <v>0</v>
      </c>
      <c r="G37" s="20">
        <v>0</v>
      </c>
      <c r="H37" s="9">
        <v>0.52986626832442085</v>
      </c>
      <c r="I37" s="5">
        <v>10.764866268324429</v>
      </c>
      <c r="J37" s="9">
        <v>10.764866268324429</v>
      </c>
      <c r="K37" s="9">
        <v>10.976532735415375</v>
      </c>
      <c r="L37" s="10">
        <v>0</v>
      </c>
      <c r="N37" s="24"/>
      <c r="O37" s="9"/>
      <c r="P37" s="5"/>
      <c r="Q37" s="10"/>
      <c r="S37" s="13"/>
      <c r="T37" s="5"/>
      <c r="U37" s="5"/>
      <c r="V37" s="5"/>
      <c r="W37" s="5"/>
      <c r="X37" s="5"/>
      <c r="Y37" s="11"/>
      <c r="Z37" s="8"/>
      <c r="AA37" s="10"/>
      <c r="AB37" s="5"/>
      <c r="AC37" s="10"/>
      <c r="AD37" s="9"/>
      <c r="AE37" s="5"/>
      <c r="AF37" s="11"/>
    </row>
    <row r="38" spans="1:32" x14ac:dyDescent="0.2">
      <c r="A38" s="8">
        <v>12</v>
      </c>
      <c r="B38" s="14">
        <v>155</v>
      </c>
      <c r="C38" s="14">
        <v>10.195000000000009</v>
      </c>
      <c r="D38" s="23">
        <v>10.09500000000001</v>
      </c>
      <c r="E38" s="19">
        <v>10</v>
      </c>
      <c r="F38" s="20">
        <v>0</v>
      </c>
      <c r="G38" s="20">
        <v>0</v>
      </c>
      <c r="H38" s="9">
        <v>0.52986626832442085</v>
      </c>
      <c r="I38" s="5">
        <v>10.72486626832443</v>
      </c>
      <c r="J38" s="9">
        <v>10.72486626832443</v>
      </c>
      <c r="K38" s="9">
        <v>10.936532735415376</v>
      </c>
      <c r="L38" s="10">
        <v>0</v>
      </c>
      <c r="N38" s="24"/>
      <c r="O38" s="9"/>
      <c r="P38" s="5"/>
      <c r="Q38" s="10"/>
      <c r="S38" s="13"/>
      <c r="T38" s="5"/>
      <c r="U38" s="5"/>
      <c r="V38" s="5"/>
      <c r="W38" s="5"/>
      <c r="X38" s="5"/>
      <c r="Y38" s="11"/>
      <c r="Z38" s="8"/>
      <c r="AA38" s="10"/>
      <c r="AB38" s="5"/>
      <c r="AC38" s="10"/>
      <c r="AD38" s="9"/>
      <c r="AE38" s="5"/>
      <c r="AF38" s="11"/>
    </row>
    <row r="39" spans="1:32" x14ac:dyDescent="0.2">
      <c r="A39" s="8">
        <v>13</v>
      </c>
      <c r="B39" s="14">
        <v>160</v>
      </c>
      <c r="C39" s="14">
        <v>10.15500000000001</v>
      </c>
      <c r="D39" s="23">
        <v>10.05500000000001</v>
      </c>
      <c r="E39" s="19">
        <v>10</v>
      </c>
      <c r="F39" s="20">
        <v>0</v>
      </c>
      <c r="G39" s="20">
        <v>0</v>
      </c>
      <c r="H39" s="9">
        <v>0.52986626832442085</v>
      </c>
      <c r="I39" s="5">
        <v>10.684866268324431</v>
      </c>
      <c r="J39" s="9">
        <v>10.684866268324431</v>
      </c>
      <c r="K39" s="9">
        <v>10.896532735415377</v>
      </c>
      <c r="L39" s="10">
        <v>0</v>
      </c>
      <c r="N39" s="24"/>
      <c r="O39" s="9"/>
      <c r="P39" s="5"/>
      <c r="Q39" s="10"/>
      <c r="S39" s="13"/>
      <c r="T39" s="5"/>
      <c r="U39" s="5"/>
      <c r="V39" s="5"/>
      <c r="W39" s="5"/>
      <c r="X39" s="5"/>
      <c r="Y39" s="11"/>
      <c r="Z39" s="8"/>
      <c r="AA39" s="10"/>
      <c r="AB39" s="5"/>
      <c r="AC39" s="10"/>
      <c r="AD39" s="9"/>
      <c r="AE39" s="5"/>
      <c r="AF39" s="11"/>
    </row>
    <row r="40" spans="1:32" x14ac:dyDescent="0.2">
      <c r="A40" s="8">
        <v>14</v>
      </c>
      <c r="B40" s="14">
        <v>165</v>
      </c>
      <c r="C40" s="14">
        <v>10.115000000000011</v>
      </c>
      <c r="D40" s="23">
        <v>10.015000000000011</v>
      </c>
      <c r="E40" s="19">
        <v>10</v>
      </c>
      <c r="F40" s="22">
        <v>0</v>
      </c>
      <c r="G40" s="22">
        <v>0</v>
      </c>
      <c r="H40" s="9">
        <v>0.52986626832442085</v>
      </c>
      <c r="I40" s="5">
        <v>10.644866268324432</v>
      </c>
      <c r="J40" s="9">
        <v>10.644866268324432</v>
      </c>
      <c r="K40" s="9">
        <v>10.856532735415378</v>
      </c>
      <c r="L40" s="10">
        <v>0</v>
      </c>
      <c r="N40" s="24"/>
      <c r="O40" s="9"/>
      <c r="P40" s="5"/>
      <c r="Q40" s="10"/>
      <c r="S40" s="13"/>
      <c r="T40" s="5"/>
      <c r="U40" s="5"/>
      <c r="V40" s="5"/>
      <c r="W40" s="5"/>
      <c r="X40" s="5"/>
      <c r="Y40" s="11"/>
      <c r="Z40" s="8"/>
      <c r="AA40" s="10"/>
      <c r="AB40" s="5"/>
      <c r="AC40" s="10"/>
      <c r="AD40" s="9"/>
      <c r="AE40" s="5"/>
      <c r="AF40" s="11"/>
    </row>
    <row r="41" spans="1:32" x14ac:dyDescent="0.2">
      <c r="A41" s="8">
        <v>15</v>
      </c>
      <c r="B41" s="14">
        <v>170</v>
      </c>
      <c r="C41" s="14">
        <v>10.075000000000012</v>
      </c>
      <c r="D41" s="23">
        <v>9.9750000000000121</v>
      </c>
      <c r="E41" s="19">
        <v>10</v>
      </c>
      <c r="F41" s="22">
        <v>0</v>
      </c>
      <c r="G41" s="22">
        <v>0</v>
      </c>
      <c r="H41" s="9">
        <v>0.52986626832442085</v>
      </c>
      <c r="I41" s="5">
        <v>10.604866268324432</v>
      </c>
      <c r="J41" s="9">
        <v>10.604866268324432</v>
      </c>
      <c r="K41" s="9">
        <v>10.816532735415379</v>
      </c>
      <c r="L41" s="10">
        <v>0</v>
      </c>
      <c r="N41" s="24"/>
      <c r="O41" s="9"/>
      <c r="P41" s="5"/>
      <c r="Q41" s="10"/>
      <c r="S41" s="13"/>
      <c r="T41" s="5"/>
      <c r="U41" s="5"/>
      <c r="V41" s="5"/>
      <c r="W41" s="5"/>
      <c r="X41" s="5"/>
      <c r="Y41" s="11"/>
      <c r="Z41" s="8"/>
      <c r="AA41" s="10"/>
      <c r="AB41" s="5"/>
      <c r="AC41" s="10"/>
      <c r="AD41" s="9"/>
      <c r="AE41" s="5"/>
      <c r="AF41" s="11"/>
    </row>
    <row r="42" spans="1:32" x14ac:dyDescent="0.2">
      <c r="A42" s="8">
        <v>16</v>
      </c>
      <c r="B42" s="14">
        <v>175</v>
      </c>
      <c r="C42" s="14">
        <v>10.070000000000011</v>
      </c>
      <c r="D42" s="23">
        <v>9.9700000000000113</v>
      </c>
      <c r="E42" s="19">
        <v>10</v>
      </c>
      <c r="F42" s="20">
        <v>0</v>
      </c>
      <c r="G42" s="20">
        <v>0</v>
      </c>
      <c r="H42" s="9">
        <v>1.0231438844279075</v>
      </c>
      <c r="I42" s="5">
        <v>11.093143884427919</v>
      </c>
      <c r="J42" s="9">
        <v>11.093143884427919</v>
      </c>
      <c r="K42" s="9">
        <v>10.811532735415378</v>
      </c>
      <c r="L42" s="10">
        <v>0</v>
      </c>
      <c r="N42" s="24"/>
      <c r="O42" s="9"/>
      <c r="P42" s="5"/>
      <c r="Q42" s="10"/>
      <c r="S42" s="13"/>
      <c r="T42" s="5"/>
      <c r="U42" s="5"/>
      <c r="V42" s="5"/>
      <c r="W42" s="5"/>
      <c r="X42" s="5"/>
      <c r="Y42" s="11"/>
      <c r="Z42" s="8"/>
      <c r="AA42" s="10"/>
      <c r="AB42" s="5"/>
      <c r="AC42" s="10"/>
      <c r="AD42" s="9"/>
      <c r="AE42" s="5"/>
      <c r="AF42" s="11"/>
    </row>
    <row r="43" spans="1:32" x14ac:dyDescent="0.2">
      <c r="A43" s="8">
        <v>17</v>
      </c>
      <c r="B43" s="14">
        <v>180</v>
      </c>
      <c r="C43" s="14">
        <v>10.06500000000001</v>
      </c>
      <c r="D43" s="23">
        <v>9.9650000000000105</v>
      </c>
      <c r="E43" s="19">
        <v>10</v>
      </c>
      <c r="F43" s="20">
        <v>0</v>
      </c>
      <c r="G43" s="20">
        <v>0</v>
      </c>
      <c r="H43" s="9">
        <v>1.0231438844279075</v>
      </c>
      <c r="I43" s="5">
        <v>11.088143884427918</v>
      </c>
      <c r="J43" s="9">
        <v>11.088143884427918</v>
      </c>
      <c r="K43" s="9">
        <v>10.806532735415377</v>
      </c>
      <c r="L43" s="10">
        <v>0</v>
      </c>
      <c r="N43" s="24"/>
      <c r="O43" s="9"/>
      <c r="P43" s="5"/>
      <c r="Q43" s="10"/>
      <c r="S43" s="13"/>
      <c r="T43" s="5"/>
      <c r="U43" s="5"/>
      <c r="V43" s="5"/>
      <c r="W43" s="5"/>
      <c r="X43" s="5"/>
      <c r="Y43" s="11"/>
      <c r="Z43" s="8"/>
      <c r="AA43" s="10"/>
      <c r="AB43" s="5"/>
      <c r="AC43" s="10"/>
      <c r="AD43" s="9"/>
      <c r="AE43" s="5"/>
      <c r="AF43" s="11"/>
    </row>
    <row r="44" spans="1:32" x14ac:dyDescent="0.2">
      <c r="A44" s="8">
        <v>18</v>
      </c>
      <c r="B44" s="14">
        <v>185</v>
      </c>
      <c r="C44" s="14">
        <v>10.060000000000009</v>
      </c>
      <c r="D44" s="23">
        <v>9.9600000000000097</v>
      </c>
      <c r="E44" s="19">
        <v>10</v>
      </c>
      <c r="F44" s="20">
        <v>0</v>
      </c>
      <c r="G44" s="20">
        <v>0</v>
      </c>
      <c r="H44" s="9">
        <v>1.0231438844279075</v>
      </c>
      <c r="I44" s="5">
        <v>11.083143884427917</v>
      </c>
      <c r="J44" s="9">
        <v>11.083143884427917</v>
      </c>
      <c r="K44" s="9">
        <v>10.801532735415377</v>
      </c>
      <c r="L44" s="10">
        <v>0</v>
      </c>
      <c r="N44" s="24"/>
      <c r="O44" s="9"/>
      <c r="P44" s="5"/>
      <c r="Q44" s="10"/>
      <c r="S44" s="13"/>
      <c r="T44" s="5"/>
      <c r="U44" s="5"/>
      <c r="V44" s="5"/>
      <c r="W44" s="5"/>
      <c r="X44" s="5"/>
      <c r="Y44" s="11"/>
      <c r="Z44" s="8"/>
      <c r="AA44" s="10"/>
      <c r="AB44" s="5"/>
      <c r="AC44" s="10"/>
      <c r="AD44" s="9"/>
      <c r="AE44" s="5"/>
      <c r="AF44" s="11"/>
    </row>
    <row r="45" spans="1:32" x14ac:dyDescent="0.2">
      <c r="A45" s="8">
        <v>19</v>
      </c>
      <c r="B45" s="14">
        <v>190</v>
      </c>
      <c r="C45" s="14">
        <v>10.055000000000009</v>
      </c>
      <c r="D45" s="23">
        <v>9.955000000000009</v>
      </c>
      <c r="E45" s="19">
        <v>10</v>
      </c>
      <c r="F45" s="20">
        <v>0</v>
      </c>
      <c r="G45" s="20">
        <v>0</v>
      </c>
      <c r="H45" s="9">
        <v>1.0231438844279075</v>
      </c>
      <c r="I45" s="5">
        <v>11.078143884427917</v>
      </c>
      <c r="J45" s="9">
        <v>11.078143884427917</v>
      </c>
      <c r="K45" s="9">
        <v>10.796532735415376</v>
      </c>
      <c r="L45" s="10">
        <v>0</v>
      </c>
      <c r="N45" s="24"/>
      <c r="O45" s="9"/>
      <c r="P45" s="5"/>
      <c r="Q45" s="10"/>
      <c r="S45" s="13"/>
      <c r="T45" s="5"/>
      <c r="U45" s="5"/>
      <c r="V45" s="5"/>
      <c r="W45" s="5"/>
      <c r="X45" s="5"/>
      <c r="Y45" s="11"/>
      <c r="Z45" s="8"/>
      <c r="AA45" s="10"/>
      <c r="AB45" s="5"/>
      <c r="AC45" s="10"/>
      <c r="AD45" s="9"/>
      <c r="AE45" s="5"/>
      <c r="AF45" s="11"/>
    </row>
    <row r="46" spans="1:32" x14ac:dyDescent="0.2">
      <c r="A46" s="8">
        <v>20</v>
      </c>
      <c r="B46" s="14">
        <v>195</v>
      </c>
      <c r="C46" s="14">
        <v>10.050000000000008</v>
      </c>
      <c r="D46" s="23">
        <v>9.9500000000000082</v>
      </c>
      <c r="E46" s="19">
        <v>10</v>
      </c>
      <c r="F46" s="20">
        <v>0</v>
      </c>
      <c r="G46" s="20">
        <v>0</v>
      </c>
      <c r="H46" s="9">
        <v>1.0231438844279075</v>
      </c>
      <c r="I46" s="5">
        <v>11.073143884427916</v>
      </c>
      <c r="J46" s="9">
        <v>11.073143884427916</v>
      </c>
      <c r="K46" s="9">
        <v>10.791532735415375</v>
      </c>
      <c r="L46" s="10">
        <v>0</v>
      </c>
      <c r="N46" s="24"/>
      <c r="O46" s="9"/>
      <c r="P46" s="5"/>
      <c r="Q46" s="10"/>
      <c r="S46" s="13"/>
      <c r="T46" s="5"/>
      <c r="U46" s="5"/>
      <c r="V46" s="5"/>
      <c r="W46" s="5"/>
      <c r="X46" s="5"/>
      <c r="Y46" s="11"/>
      <c r="Z46" s="8"/>
      <c r="AA46" s="10"/>
      <c r="AB46" s="5"/>
      <c r="AC46" s="10"/>
      <c r="AD46" s="9"/>
      <c r="AE46" s="5"/>
      <c r="AF46" s="11"/>
    </row>
    <row r="47" spans="1:32" x14ac:dyDescent="0.2">
      <c r="A47" s="8">
        <v>21</v>
      </c>
      <c r="B47" s="14">
        <v>200</v>
      </c>
      <c r="C47" s="14">
        <v>10.045000000000007</v>
      </c>
      <c r="D47" s="23">
        <v>9.9450000000000074</v>
      </c>
      <c r="E47" s="19">
        <v>10</v>
      </c>
      <c r="F47" s="20">
        <v>0</v>
      </c>
      <c r="G47" s="20">
        <v>0</v>
      </c>
      <c r="H47" s="9">
        <v>1.0231438844279075</v>
      </c>
      <c r="I47" s="5">
        <v>11.068143884427915</v>
      </c>
      <c r="J47" s="9">
        <v>11.068143884427915</v>
      </c>
      <c r="K47" s="9">
        <v>10.786532735415374</v>
      </c>
      <c r="L47" s="10">
        <v>0</v>
      </c>
      <c r="N47" s="24"/>
      <c r="O47" s="9"/>
      <c r="P47" s="5"/>
      <c r="Q47" s="10"/>
      <c r="S47" s="13"/>
      <c r="T47" s="5"/>
      <c r="U47" s="5"/>
      <c r="V47" s="5"/>
      <c r="W47" s="5"/>
      <c r="X47" s="5"/>
      <c r="Y47" s="11"/>
      <c r="Z47" s="8"/>
      <c r="AA47" s="10"/>
      <c r="AB47" s="5"/>
      <c r="AC47" s="10"/>
      <c r="AD47" s="9"/>
      <c r="AE47" s="5"/>
      <c r="AF47" s="11"/>
    </row>
    <row r="48" spans="1:32" s="6" customFormat="1" x14ac:dyDescent="0.2">
      <c r="A48" s="8">
        <v>22</v>
      </c>
      <c r="B48" s="14">
        <v>205</v>
      </c>
      <c r="C48" s="14">
        <v>10.040000000000006</v>
      </c>
      <c r="D48" s="23">
        <v>9.9400000000000066</v>
      </c>
      <c r="E48" s="19">
        <v>10</v>
      </c>
      <c r="F48" s="20">
        <v>0</v>
      </c>
      <c r="G48" s="20">
        <v>0</v>
      </c>
      <c r="H48" s="9">
        <v>1.0231438844279075</v>
      </c>
      <c r="I48" s="5">
        <v>11.063143884427914</v>
      </c>
      <c r="J48" s="9">
        <v>11.063143884427914</v>
      </c>
      <c r="K48" s="9">
        <v>10.781532735415373</v>
      </c>
      <c r="L48" s="10">
        <v>0</v>
      </c>
      <c r="N48" s="24"/>
      <c r="O48" s="9"/>
      <c r="P48" s="5"/>
      <c r="Q48" s="10"/>
      <c r="R48"/>
      <c r="S48" s="13"/>
      <c r="T48" s="5"/>
      <c r="U48" s="5"/>
      <c r="V48" s="5"/>
      <c r="W48" s="5"/>
      <c r="X48" s="5"/>
      <c r="Y48" s="11"/>
      <c r="Z48" s="8"/>
      <c r="AA48" s="10"/>
      <c r="AB48" s="5"/>
      <c r="AC48" s="10"/>
      <c r="AD48" s="9"/>
      <c r="AE48" s="5"/>
      <c r="AF48" s="11"/>
    </row>
    <row r="49" spans="1:32" s="6" customFormat="1" x14ac:dyDescent="0.2">
      <c r="A49" s="8">
        <v>23</v>
      </c>
      <c r="B49" s="14">
        <v>210</v>
      </c>
      <c r="C49" s="14">
        <v>10.035000000000005</v>
      </c>
      <c r="D49" s="23">
        <v>9.9350000000000058</v>
      </c>
      <c r="E49" s="19">
        <v>10</v>
      </c>
      <c r="F49" s="20">
        <v>0</v>
      </c>
      <c r="G49" s="20">
        <v>0</v>
      </c>
      <c r="H49" s="9">
        <v>1.0231438844279075</v>
      </c>
      <c r="I49" s="5">
        <v>11.058143884427913</v>
      </c>
      <c r="J49" s="9">
        <v>11.058143884427913</v>
      </c>
      <c r="K49" s="9">
        <v>10.776532735415373</v>
      </c>
      <c r="L49" s="10">
        <v>0</v>
      </c>
      <c r="N49" s="24"/>
      <c r="O49" s="9"/>
      <c r="P49" s="5"/>
      <c r="Q49" s="10"/>
      <c r="R49"/>
      <c r="S49" s="13"/>
      <c r="T49" s="5"/>
      <c r="U49" s="5"/>
      <c r="V49" s="5"/>
      <c r="W49" s="5"/>
      <c r="X49" s="5"/>
      <c r="Y49" s="11"/>
      <c r="Z49" s="8"/>
      <c r="AA49" s="10"/>
      <c r="AB49" s="5"/>
      <c r="AC49" s="10"/>
      <c r="AD49" s="9"/>
      <c r="AE49" s="5"/>
      <c r="AF49" s="11"/>
    </row>
    <row r="50" spans="1:32" x14ac:dyDescent="0.2">
      <c r="A50" s="8">
        <v>24</v>
      </c>
      <c r="B50" s="14">
        <v>215</v>
      </c>
      <c r="C50" s="14">
        <v>10.030000000000005</v>
      </c>
      <c r="D50" s="23">
        <v>9.930000000000005</v>
      </c>
      <c r="E50" s="19">
        <v>10</v>
      </c>
      <c r="F50" s="20">
        <v>0</v>
      </c>
      <c r="G50" s="20">
        <v>0</v>
      </c>
      <c r="H50" s="9">
        <v>1.0231438844279075</v>
      </c>
      <c r="I50" s="5">
        <v>11.053143884427913</v>
      </c>
      <c r="J50" s="9">
        <v>11.053143884427913</v>
      </c>
      <c r="K50" s="9">
        <v>10.771532735415372</v>
      </c>
      <c r="L50" s="10">
        <v>0</v>
      </c>
      <c r="N50" s="24"/>
      <c r="O50" s="9"/>
      <c r="P50" s="5"/>
      <c r="Q50" s="10"/>
      <c r="S50" s="13"/>
      <c r="T50" s="5"/>
      <c r="U50" s="5"/>
      <c r="V50" s="5"/>
      <c r="W50" s="5"/>
      <c r="X50" s="5"/>
      <c r="Y50" s="11"/>
      <c r="Z50" s="8"/>
      <c r="AA50" s="10"/>
      <c r="AB50" s="5"/>
      <c r="AC50" s="10"/>
      <c r="AD50" s="9"/>
      <c r="AE50" s="5"/>
      <c r="AF50" s="11"/>
    </row>
    <row r="51" spans="1:32" x14ac:dyDescent="0.2">
      <c r="A51" s="8">
        <v>25</v>
      </c>
      <c r="B51" s="14">
        <v>220</v>
      </c>
      <c r="C51" s="14">
        <v>10.025000000000004</v>
      </c>
      <c r="D51" s="23">
        <v>9.9250000000000043</v>
      </c>
      <c r="E51" s="19">
        <v>10</v>
      </c>
      <c r="F51" s="20">
        <v>0</v>
      </c>
      <c r="G51" s="20">
        <v>0</v>
      </c>
      <c r="H51" s="9">
        <v>1.0231438844279075</v>
      </c>
      <c r="I51" s="5">
        <v>11.048143884427912</v>
      </c>
      <c r="J51" s="9">
        <v>11.048143884427912</v>
      </c>
      <c r="K51" s="9">
        <v>10.766532735415371</v>
      </c>
      <c r="L51" s="10">
        <v>0</v>
      </c>
      <c r="N51" s="24"/>
      <c r="O51" s="9"/>
      <c r="P51" s="5"/>
      <c r="Q51" s="10"/>
      <c r="S51" s="13"/>
      <c r="T51" s="5"/>
      <c r="U51" s="5"/>
      <c r="V51" s="5"/>
      <c r="W51" s="5"/>
      <c r="X51" s="5"/>
      <c r="Y51" s="11"/>
      <c r="Z51" s="8"/>
      <c r="AA51" s="10"/>
      <c r="AB51" s="5"/>
      <c r="AC51" s="10"/>
      <c r="AD51" s="9"/>
      <c r="AE51" s="5"/>
      <c r="AF51" s="11"/>
    </row>
    <row r="52" spans="1:32" x14ac:dyDescent="0.2">
      <c r="A52" s="8">
        <v>26</v>
      </c>
      <c r="B52" s="14">
        <v>225</v>
      </c>
      <c r="C52" s="14">
        <v>10.020000000000003</v>
      </c>
      <c r="D52" s="23">
        <v>9.9200000000000035</v>
      </c>
      <c r="E52" s="19">
        <v>10</v>
      </c>
      <c r="F52" s="20">
        <v>0</v>
      </c>
      <c r="G52" s="20">
        <v>0</v>
      </c>
      <c r="H52" s="9">
        <v>1.0231438844279075</v>
      </c>
      <c r="I52" s="5">
        <v>11.043143884427911</v>
      </c>
      <c r="J52" s="9">
        <v>11.043143884427911</v>
      </c>
      <c r="K52" s="9">
        <v>10.76153273541537</v>
      </c>
      <c r="L52" s="10">
        <v>0</v>
      </c>
      <c r="N52" s="24"/>
      <c r="O52" s="9"/>
      <c r="P52" s="5"/>
      <c r="Q52" s="10"/>
      <c r="S52" s="13"/>
      <c r="T52" s="5"/>
      <c r="U52" s="5"/>
      <c r="V52" s="5"/>
      <c r="W52" s="5"/>
      <c r="X52" s="5"/>
      <c r="Y52" s="11"/>
      <c r="Z52" s="8"/>
      <c r="AA52" s="10"/>
      <c r="AB52" s="5"/>
      <c r="AC52" s="10"/>
      <c r="AD52" s="9"/>
      <c r="AE52" s="5"/>
      <c r="AF52" s="11"/>
    </row>
    <row r="53" spans="1:32" x14ac:dyDescent="0.2">
      <c r="A53" s="8">
        <v>27</v>
      </c>
      <c r="B53" s="14">
        <v>230</v>
      </c>
      <c r="C53" s="14">
        <v>10.015000000000002</v>
      </c>
      <c r="D53" s="23">
        <v>9.9150000000000027</v>
      </c>
      <c r="E53" s="19">
        <v>10</v>
      </c>
      <c r="F53" s="20">
        <v>0</v>
      </c>
      <c r="G53" s="20">
        <v>0</v>
      </c>
      <c r="H53" s="9">
        <v>1.0231438844279075</v>
      </c>
      <c r="I53" s="5">
        <v>11.03814388442791</v>
      </c>
      <c r="J53" s="9">
        <v>11.03814388442791</v>
      </c>
      <c r="K53" s="9">
        <v>10.756532735415369</v>
      </c>
      <c r="L53" s="10">
        <v>0</v>
      </c>
      <c r="N53" s="24"/>
      <c r="O53" s="9"/>
      <c r="P53" s="5"/>
      <c r="Q53" s="10"/>
      <c r="S53" s="13"/>
      <c r="T53" s="5"/>
      <c r="U53" s="5"/>
      <c r="V53" s="5"/>
      <c r="W53" s="5"/>
      <c r="X53" s="5"/>
      <c r="Y53" s="11"/>
      <c r="Z53" s="8"/>
      <c r="AA53" s="10"/>
      <c r="AB53" s="5"/>
      <c r="AC53" s="10"/>
      <c r="AD53" s="9"/>
      <c r="AE53" s="5"/>
      <c r="AF53" s="11"/>
    </row>
    <row r="54" spans="1:32" x14ac:dyDescent="0.2">
      <c r="A54" s="8">
        <v>28</v>
      </c>
      <c r="B54" s="14">
        <v>235</v>
      </c>
      <c r="C54" s="14">
        <v>10.010000000000002</v>
      </c>
      <c r="D54" s="23">
        <v>9.9100000000000019</v>
      </c>
      <c r="E54" s="19">
        <v>10</v>
      </c>
      <c r="F54" s="22">
        <v>0</v>
      </c>
      <c r="G54" s="22">
        <v>0</v>
      </c>
      <c r="H54" s="9">
        <v>1.0231438844279075</v>
      </c>
      <c r="I54" s="5">
        <v>11.033143884427909</v>
      </c>
      <c r="J54" s="9">
        <v>11.033143884427909</v>
      </c>
      <c r="K54" s="9">
        <v>10.751532735415369</v>
      </c>
      <c r="L54" s="10">
        <v>0</v>
      </c>
      <c r="N54" s="24"/>
      <c r="O54" s="9"/>
      <c r="P54" s="5"/>
      <c r="Q54" s="10"/>
      <c r="S54" s="13"/>
      <c r="T54" s="5"/>
      <c r="U54" s="5"/>
      <c r="V54" s="5"/>
      <c r="W54" s="5"/>
      <c r="X54" s="5"/>
      <c r="Y54" s="11"/>
      <c r="Z54" s="8"/>
      <c r="AA54" s="10"/>
      <c r="AB54" s="5"/>
      <c r="AC54" s="10"/>
      <c r="AD54" s="9"/>
      <c r="AE54" s="5"/>
      <c r="AF54" s="11"/>
    </row>
    <row r="55" spans="1:32" x14ac:dyDescent="0.2">
      <c r="A55" s="8">
        <v>29</v>
      </c>
      <c r="B55" s="14">
        <v>240</v>
      </c>
      <c r="C55" s="14">
        <v>10.005000000000001</v>
      </c>
      <c r="D55" s="23">
        <v>9.9050000000000011</v>
      </c>
      <c r="E55" s="19">
        <v>10</v>
      </c>
      <c r="F55" s="22">
        <v>0</v>
      </c>
      <c r="G55" s="22">
        <v>0</v>
      </c>
      <c r="H55" s="9">
        <v>1.0231438844279075</v>
      </c>
      <c r="I55" s="5">
        <v>11.028143884427909</v>
      </c>
      <c r="J55" s="9">
        <v>11.028143884427909</v>
      </c>
      <c r="K55" s="9">
        <v>10.746532735415368</v>
      </c>
      <c r="L55" s="10">
        <v>0</v>
      </c>
      <c r="N55" s="24"/>
      <c r="O55" s="9"/>
      <c r="P55" s="5"/>
      <c r="Q55" s="10"/>
      <c r="S55" s="13"/>
      <c r="T55" s="5"/>
      <c r="U55" s="5"/>
      <c r="V55" s="5"/>
      <c r="W55" s="5"/>
      <c r="X55" s="5"/>
      <c r="Y55" s="11"/>
      <c r="Z55" s="8"/>
      <c r="AA55" s="10"/>
      <c r="AB55" s="5"/>
      <c r="AC55" s="10"/>
      <c r="AD55" s="9"/>
      <c r="AE55" s="5"/>
      <c r="AF55" s="11"/>
    </row>
    <row r="56" spans="1:32" x14ac:dyDescent="0.2">
      <c r="A56" s="8">
        <v>30</v>
      </c>
      <c r="B56" s="14">
        <v>245</v>
      </c>
      <c r="C56" s="14">
        <v>10</v>
      </c>
      <c r="D56" s="23">
        <v>9.9</v>
      </c>
      <c r="E56" s="19">
        <v>10</v>
      </c>
      <c r="F56" s="20">
        <v>0</v>
      </c>
      <c r="G56" s="20">
        <v>0</v>
      </c>
      <c r="H56" s="9">
        <v>1.0231438844279075</v>
      </c>
      <c r="I56" s="5">
        <v>11.023143884427908</v>
      </c>
      <c r="J56" s="9">
        <v>11.023143884427908</v>
      </c>
      <c r="K56" s="9">
        <v>10.741532735415367</v>
      </c>
      <c r="L56" s="10">
        <v>0</v>
      </c>
      <c r="N56" s="24"/>
      <c r="O56" s="9"/>
      <c r="P56" s="5"/>
      <c r="Q56" s="10"/>
      <c r="S56" s="13"/>
      <c r="T56" s="5"/>
      <c r="U56" s="5"/>
      <c r="V56" s="5"/>
      <c r="W56" s="5"/>
      <c r="X56" s="5"/>
      <c r="Y56" s="11"/>
      <c r="Z56" s="8"/>
      <c r="AA56" s="10"/>
      <c r="AB56" s="5"/>
      <c r="AC56" s="10"/>
      <c r="AD56" s="9"/>
      <c r="AE56" s="5"/>
      <c r="AF56" s="11"/>
    </row>
    <row r="57" spans="1:32" x14ac:dyDescent="0.2">
      <c r="A57" s="8"/>
      <c r="B57" s="14"/>
      <c r="C57" s="14"/>
      <c r="D57" s="23"/>
      <c r="E57" s="19"/>
      <c r="F57" s="20"/>
      <c r="G57" s="20"/>
      <c r="H57" s="9"/>
      <c r="I57" s="5"/>
      <c r="J57" s="9"/>
      <c r="K57" s="9"/>
      <c r="L57" s="10"/>
      <c r="N57" s="9"/>
      <c r="O57" s="9"/>
      <c r="P57" s="5"/>
      <c r="Q57" s="10"/>
      <c r="S57" s="13"/>
      <c r="T57" s="5"/>
      <c r="U57" s="5"/>
      <c r="V57" s="5"/>
      <c r="W57" s="5"/>
      <c r="X57" s="5"/>
      <c r="Y57" s="11"/>
      <c r="Z57" s="8"/>
      <c r="AA57" s="10"/>
      <c r="AB57" s="5"/>
      <c r="AC57" s="10"/>
      <c r="AD57" s="9"/>
      <c r="AE57" s="5"/>
      <c r="AF57" s="11"/>
    </row>
    <row r="58" spans="1:32" x14ac:dyDescent="0.2">
      <c r="A58" s="8"/>
      <c r="B58" s="14"/>
      <c r="C58" s="14"/>
      <c r="D58" s="23"/>
      <c r="E58" s="19"/>
      <c r="F58" s="20"/>
      <c r="G58" s="20"/>
      <c r="H58" s="9"/>
      <c r="I58" s="5"/>
      <c r="J58" s="9"/>
      <c r="K58" s="9"/>
      <c r="L58" s="10"/>
      <c r="N58" s="9"/>
      <c r="O58" s="9"/>
      <c r="P58" s="5"/>
      <c r="Q58" s="10"/>
      <c r="S58" s="13"/>
      <c r="T58" s="5"/>
      <c r="U58" s="5"/>
      <c r="V58" s="5"/>
      <c r="W58" s="5"/>
      <c r="X58" s="5"/>
      <c r="Y58" s="11"/>
      <c r="Z58" s="8"/>
      <c r="AA58" s="10"/>
      <c r="AB58" s="5"/>
      <c r="AC58" s="10"/>
      <c r="AD58" s="9"/>
      <c r="AE58" s="5"/>
      <c r="AF58" s="11"/>
    </row>
    <row r="59" spans="1:32" x14ac:dyDescent="0.2">
      <c r="A59" s="8"/>
      <c r="B59" s="14"/>
      <c r="C59" s="14"/>
      <c r="D59" s="23"/>
      <c r="E59" s="19"/>
      <c r="F59" s="20"/>
      <c r="G59" s="20"/>
      <c r="H59" s="9"/>
      <c r="I59" s="5"/>
      <c r="J59" s="9"/>
      <c r="K59" s="9"/>
      <c r="L59" s="10"/>
      <c r="N59" s="9"/>
      <c r="O59" s="9"/>
      <c r="P59" s="5"/>
      <c r="Q59" s="10"/>
      <c r="S59" s="13"/>
      <c r="T59" s="5"/>
      <c r="U59" s="5"/>
      <c r="V59" s="5"/>
      <c r="W59" s="5"/>
      <c r="X59" s="5"/>
      <c r="Y59" s="11"/>
      <c r="Z59" s="8"/>
      <c r="AA59" s="10"/>
      <c r="AB59" s="5"/>
      <c r="AC59" s="10"/>
      <c r="AD59" s="9"/>
      <c r="AE59" s="5"/>
      <c r="AF59" s="11"/>
    </row>
    <row r="60" spans="1:32" x14ac:dyDescent="0.2">
      <c r="A60" s="8"/>
      <c r="B60" s="14"/>
      <c r="C60" s="14"/>
      <c r="D60" s="23"/>
      <c r="E60" s="19"/>
      <c r="F60" s="20"/>
      <c r="G60" s="20"/>
      <c r="H60" s="9"/>
      <c r="I60" s="5"/>
      <c r="J60" s="9"/>
      <c r="K60" s="9"/>
      <c r="L60" s="10"/>
      <c r="N60" s="9"/>
      <c r="O60" s="9"/>
      <c r="P60" s="5"/>
      <c r="Q60" s="10"/>
      <c r="S60" s="13"/>
      <c r="T60" s="5"/>
      <c r="U60" s="5"/>
      <c r="V60" s="5"/>
      <c r="W60" s="5"/>
      <c r="X60" s="5"/>
      <c r="Y60" s="11"/>
      <c r="Z60" s="8"/>
      <c r="AA60" s="10"/>
      <c r="AB60" s="5"/>
      <c r="AC60" s="10"/>
      <c r="AD60" s="9"/>
      <c r="AE60" s="5"/>
      <c r="AF60" s="11"/>
    </row>
    <row r="61" spans="1:32" x14ac:dyDescent="0.2">
      <c r="A61" s="8"/>
      <c r="B61" s="14"/>
      <c r="C61" s="14"/>
      <c r="D61" s="23"/>
      <c r="E61" s="19"/>
      <c r="F61" s="20"/>
      <c r="G61" s="20"/>
      <c r="H61" s="9"/>
      <c r="I61" s="5"/>
      <c r="J61" s="9"/>
      <c r="K61" s="9"/>
      <c r="L61" s="10"/>
      <c r="N61" s="9"/>
      <c r="O61" s="9"/>
      <c r="P61" s="5"/>
      <c r="Q61" s="10"/>
      <c r="S61" s="13"/>
      <c r="T61" s="5"/>
      <c r="U61" s="5"/>
      <c r="V61" s="5"/>
      <c r="W61" s="5"/>
      <c r="X61" s="5"/>
      <c r="Y61" s="11"/>
      <c r="Z61" s="8"/>
      <c r="AA61" s="10"/>
      <c r="AB61" s="5"/>
      <c r="AC61" s="10"/>
      <c r="AD61" s="9"/>
      <c r="AE61" s="5"/>
      <c r="AF61" s="11"/>
    </row>
    <row r="62" spans="1:32" x14ac:dyDescent="0.2">
      <c r="A62" s="8"/>
      <c r="B62" s="14"/>
      <c r="C62" s="23"/>
      <c r="D62" s="23"/>
      <c r="E62" s="19"/>
      <c r="F62" s="20"/>
      <c r="G62" s="20"/>
      <c r="H62" s="9"/>
      <c r="I62" s="5"/>
      <c r="J62" s="9"/>
      <c r="K62" s="9"/>
      <c r="L62" s="10"/>
      <c r="N62" s="9"/>
      <c r="O62" s="9"/>
      <c r="P62" s="5"/>
      <c r="Q62" s="10"/>
      <c r="S62" s="13"/>
      <c r="T62" s="5"/>
      <c r="U62" s="5"/>
      <c r="V62" s="5"/>
      <c r="W62" s="5"/>
      <c r="X62" s="5"/>
      <c r="Y62" s="11"/>
      <c r="Z62" s="8"/>
      <c r="AA62" s="10"/>
      <c r="AB62" s="5"/>
      <c r="AC62" s="10"/>
      <c r="AD62" s="9"/>
      <c r="AE62" s="5"/>
      <c r="AF62" s="11"/>
    </row>
    <row r="63" spans="1:32" x14ac:dyDescent="0.2">
      <c r="A63" s="8"/>
      <c r="B63" s="14"/>
      <c r="C63" s="23"/>
      <c r="D63" s="23"/>
      <c r="E63" s="19"/>
      <c r="F63" s="20"/>
      <c r="G63" s="20"/>
      <c r="H63" s="9"/>
      <c r="I63" s="5"/>
      <c r="J63" s="9"/>
      <c r="K63" s="9"/>
      <c r="L63" s="10"/>
      <c r="N63" s="9"/>
      <c r="O63" s="9"/>
      <c r="P63" s="5"/>
      <c r="Q63" s="10"/>
      <c r="S63" s="13"/>
      <c r="T63" s="5"/>
      <c r="U63" s="5"/>
      <c r="V63" s="5"/>
      <c r="W63" s="5"/>
      <c r="X63" s="5"/>
      <c r="Y63" s="11"/>
      <c r="Z63" s="8"/>
      <c r="AA63" s="10"/>
      <c r="AB63" s="5"/>
      <c r="AC63" s="10"/>
      <c r="AD63" s="9"/>
      <c r="AE63" s="5"/>
      <c r="AF63" s="11"/>
    </row>
    <row r="64" spans="1:32" x14ac:dyDescent="0.2">
      <c r="A64" s="8"/>
      <c r="B64" s="14"/>
      <c r="C64" s="23"/>
      <c r="D64" s="23"/>
      <c r="E64" s="19"/>
      <c r="F64" s="20"/>
      <c r="G64" s="20"/>
      <c r="H64" s="9"/>
      <c r="I64" s="5"/>
      <c r="J64" s="9"/>
      <c r="K64" s="9"/>
      <c r="L64" s="10"/>
      <c r="N64" s="9"/>
      <c r="O64" s="9"/>
      <c r="P64" s="5"/>
      <c r="Q64" s="10"/>
      <c r="S64" s="13"/>
      <c r="T64" s="5"/>
      <c r="U64" s="5"/>
      <c r="V64" s="5"/>
      <c r="W64" s="5"/>
      <c r="X64" s="5"/>
      <c r="Y64" s="11"/>
      <c r="Z64" s="8"/>
      <c r="AA64" s="10"/>
      <c r="AB64" s="5"/>
      <c r="AC64" s="10"/>
      <c r="AD64" s="9"/>
      <c r="AE64" s="5"/>
      <c r="AF64" s="11"/>
    </row>
    <row r="65" spans="1:32" x14ac:dyDescent="0.2">
      <c r="A65" s="8"/>
      <c r="B65" s="14"/>
      <c r="C65" s="23"/>
      <c r="D65" s="23"/>
      <c r="E65" s="19"/>
      <c r="F65" s="20"/>
      <c r="G65" s="20"/>
      <c r="H65" s="9"/>
      <c r="I65" s="5"/>
      <c r="J65" s="9"/>
      <c r="K65" s="9"/>
      <c r="L65" s="10"/>
      <c r="N65" s="9"/>
      <c r="O65" s="9"/>
      <c r="P65" s="5"/>
      <c r="Q65" s="10"/>
      <c r="S65" s="13"/>
      <c r="T65" s="5"/>
      <c r="U65" s="5"/>
      <c r="V65" s="5"/>
      <c r="W65" s="5"/>
      <c r="X65" s="5"/>
      <c r="Y65" s="11"/>
      <c r="Z65" s="8"/>
      <c r="AA65" s="10"/>
      <c r="AB65" s="5"/>
      <c r="AC65" s="10"/>
      <c r="AD65" s="9"/>
      <c r="AE65" s="5"/>
      <c r="AF65" s="11"/>
    </row>
    <row r="66" spans="1:32" x14ac:dyDescent="0.2">
      <c r="A66" s="8"/>
      <c r="B66" s="14"/>
      <c r="C66" s="23"/>
      <c r="D66" s="23"/>
      <c r="E66" s="19"/>
      <c r="F66" s="20"/>
      <c r="G66" s="20"/>
      <c r="H66" s="9"/>
      <c r="I66" s="5"/>
      <c r="J66" s="9"/>
      <c r="K66" s="9"/>
      <c r="L66" s="10"/>
      <c r="N66" s="9"/>
      <c r="O66" s="9"/>
      <c r="P66" s="5"/>
      <c r="Q66" s="10"/>
      <c r="S66" s="13"/>
      <c r="T66" s="5"/>
      <c r="U66" s="5"/>
      <c r="V66" s="5"/>
      <c r="W66" s="5"/>
      <c r="X66" s="5"/>
      <c r="Y66" s="11"/>
      <c r="Z66" s="8"/>
      <c r="AA66" s="10"/>
      <c r="AB66" s="5"/>
      <c r="AC66" s="10"/>
      <c r="AD66" s="9"/>
      <c r="AE66" s="5"/>
      <c r="AF66" s="11"/>
    </row>
    <row r="67" spans="1:32" x14ac:dyDescent="0.2">
      <c r="A67" s="8"/>
      <c r="B67" s="14"/>
      <c r="C67" s="14"/>
      <c r="D67" s="23"/>
      <c r="E67" s="19"/>
      <c r="F67" s="20"/>
      <c r="G67" s="20"/>
      <c r="H67" s="9"/>
      <c r="I67" s="5"/>
      <c r="J67" s="9"/>
      <c r="K67" s="9"/>
      <c r="L67" s="10"/>
      <c r="N67" s="9"/>
      <c r="O67" s="9"/>
      <c r="P67" s="5"/>
      <c r="Q67" s="10"/>
      <c r="S67" s="13"/>
      <c r="T67" s="5"/>
      <c r="U67" s="5"/>
      <c r="V67" s="5"/>
      <c r="W67" s="5"/>
      <c r="X67" s="5"/>
      <c r="Y67" s="11"/>
      <c r="Z67" s="8"/>
      <c r="AA67" s="10"/>
      <c r="AB67" s="5"/>
      <c r="AC67" s="10"/>
      <c r="AD67" s="9"/>
      <c r="AE67" s="5"/>
      <c r="AF67" s="11"/>
    </row>
    <row r="68" spans="1:32" x14ac:dyDescent="0.2">
      <c r="A68" s="8"/>
      <c r="B68" s="14"/>
      <c r="C68" s="14"/>
      <c r="D68" s="23"/>
      <c r="E68" s="19"/>
      <c r="F68" s="20"/>
      <c r="G68" s="20"/>
      <c r="H68" s="9"/>
      <c r="I68" s="5"/>
      <c r="J68" s="9"/>
      <c r="K68" s="9"/>
      <c r="L68" s="10"/>
      <c r="N68" s="9"/>
      <c r="O68" s="9"/>
      <c r="P68" s="5"/>
      <c r="Q68" s="10"/>
      <c r="S68" s="13"/>
      <c r="T68" s="5"/>
      <c r="U68" s="5"/>
      <c r="V68" s="5"/>
      <c r="W68" s="5"/>
      <c r="X68" s="5"/>
      <c r="Y68" s="11"/>
      <c r="Z68" s="8"/>
      <c r="AA68" s="10"/>
      <c r="AB68" s="5"/>
      <c r="AC68" s="10"/>
      <c r="AD68" s="9"/>
      <c r="AE68" s="5"/>
      <c r="AF68" s="11"/>
    </row>
    <row r="69" spans="1:32" x14ac:dyDescent="0.2">
      <c r="A69" s="8"/>
      <c r="B69" s="14"/>
      <c r="C69" s="14"/>
      <c r="D69" s="23"/>
      <c r="E69" s="19"/>
      <c r="F69" s="20"/>
      <c r="G69" s="20"/>
      <c r="H69" s="9"/>
      <c r="I69" s="5"/>
      <c r="J69" s="9"/>
      <c r="K69" s="9"/>
      <c r="L69" s="10"/>
      <c r="N69" s="9"/>
      <c r="O69" s="9"/>
      <c r="P69" s="5"/>
      <c r="Q69" s="10"/>
      <c r="S69" s="13"/>
      <c r="T69" s="5"/>
      <c r="U69" s="5"/>
      <c r="V69" s="5"/>
      <c r="W69" s="5"/>
      <c r="X69" s="5"/>
      <c r="Y69" s="11"/>
      <c r="Z69" s="8"/>
      <c r="AA69" s="10"/>
      <c r="AB69" s="5"/>
      <c r="AC69" s="10"/>
      <c r="AD69" s="9"/>
      <c r="AE69" s="5"/>
      <c r="AF69" s="11"/>
    </row>
    <row r="70" spans="1:32" x14ac:dyDescent="0.2">
      <c r="A70" s="8"/>
      <c r="B70" s="14"/>
      <c r="C70" s="14"/>
      <c r="D70" s="23"/>
      <c r="E70" s="19"/>
      <c r="F70" s="22"/>
      <c r="G70" s="22"/>
      <c r="H70" s="9"/>
      <c r="I70" s="5"/>
      <c r="J70" s="9"/>
      <c r="K70" s="9"/>
      <c r="L70" s="10"/>
      <c r="N70" s="9"/>
      <c r="O70" s="9"/>
      <c r="P70" s="5"/>
      <c r="Q70" s="10"/>
      <c r="S70" s="13"/>
      <c r="T70" s="5"/>
      <c r="U70" s="5"/>
      <c r="V70" s="5"/>
      <c r="W70" s="5"/>
      <c r="X70" s="5"/>
      <c r="Y70" s="11"/>
      <c r="Z70" s="8"/>
      <c r="AA70" s="10"/>
      <c r="AB70" s="5"/>
      <c r="AC70" s="10"/>
      <c r="AD70" s="9"/>
      <c r="AE70" s="5"/>
      <c r="AF70" s="11"/>
    </row>
    <row r="71" spans="1:32" x14ac:dyDescent="0.2">
      <c r="A71" s="8"/>
      <c r="B71" s="14"/>
      <c r="C71" s="14"/>
      <c r="D71" s="23"/>
      <c r="E71" s="19"/>
      <c r="F71" s="22"/>
      <c r="G71" s="22"/>
      <c r="H71" s="9"/>
      <c r="I71" s="5"/>
      <c r="J71" s="9"/>
      <c r="K71" s="9"/>
      <c r="L71" s="10"/>
      <c r="N71" s="9"/>
      <c r="O71" s="9"/>
      <c r="P71" s="5"/>
      <c r="Q71" s="10"/>
      <c r="S71" s="13"/>
      <c r="T71" s="5"/>
      <c r="U71" s="5"/>
      <c r="V71" s="5"/>
      <c r="W71" s="5"/>
      <c r="X71" s="5"/>
      <c r="Y71" s="11"/>
      <c r="Z71" s="8"/>
      <c r="AA71" s="10"/>
      <c r="AB71" s="5"/>
      <c r="AC71" s="10"/>
      <c r="AD71" s="9"/>
      <c r="AE71" s="5"/>
      <c r="AF71" s="11"/>
    </row>
    <row r="72" spans="1:32" x14ac:dyDescent="0.2">
      <c r="A72" s="8"/>
      <c r="B72" s="14"/>
      <c r="C72" s="14"/>
      <c r="D72" s="23"/>
      <c r="E72" s="19"/>
      <c r="F72" s="20"/>
      <c r="G72" s="20"/>
      <c r="H72" s="9"/>
      <c r="I72" s="5"/>
      <c r="J72" s="9"/>
      <c r="K72" s="9"/>
      <c r="L72" s="10"/>
      <c r="N72" s="9"/>
      <c r="O72" s="9"/>
      <c r="P72" s="5"/>
      <c r="Q72" s="10"/>
      <c r="S72" s="13"/>
      <c r="T72" s="5"/>
      <c r="U72" s="5"/>
      <c r="V72" s="5"/>
      <c r="W72" s="5"/>
      <c r="X72" s="5"/>
      <c r="Y72" s="11"/>
      <c r="Z72" s="8"/>
      <c r="AA72" s="10"/>
      <c r="AB72" s="5"/>
      <c r="AC72" s="10"/>
      <c r="AD72" s="9"/>
      <c r="AE72" s="5"/>
      <c r="AF72" s="11"/>
    </row>
    <row r="73" spans="1:32" x14ac:dyDescent="0.2">
      <c r="A73" s="8"/>
      <c r="B73" s="14"/>
      <c r="C73" s="14"/>
      <c r="D73" s="23"/>
      <c r="E73" s="19"/>
      <c r="F73" s="20"/>
      <c r="G73" s="20"/>
      <c r="H73" s="9"/>
      <c r="I73" s="5"/>
      <c r="J73" s="9"/>
      <c r="K73" s="9"/>
      <c r="L73" s="10"/>
      <c r="N73" s="9"/>
      <c r="O73" s="9"/>
      <c r="P73" s="5"/>
      <c r="Q73" s="10"/>
      <c r="S73" s="13"/>
      <c r="T73" s="5"/>
      <c r="U73" s="5"/>
      <c r="V73" s="5"/>
      <c r="W73" s="5"/>
      <c r="X73" s="5"/>
      <c r="Y73" s="11"/>
      <c r="Z73" s="8"/>
      <c r="AA73" s="10"/>
      <c r="AB73" s="5"/>
      <c r="AC73" s="10"/>
      <c r="AD73" s="9"/>
      <c r="AE73" s="5"/>
      <c r="AF73" s="11"/>
    </row>
    <row r="74" spans="1:32" x14ac:dyDescent="0.2">
      <c r="A74" s="8"/>
      <c r="B74" s="14"/>
      <c r="C74" s="14"/>
      <c r="D74" s="23"/>
      <c r="E74" s="19"/>
      <c r="F74" s="20"/>
      <c r="G74" s="20"/>
      <c r="H74" s="9"/>
      <c r="I74" s="5"/>
      <c r="J74" s="9"/>
      <c r="K74" s="9"/>
      <c r="L74" s="10"/>
      <c r="N74" s="9"/>
      <c r="O74" s="9"/>
      <c r="P74" s="5"/>
      <c r="Q74" s="10"/>
      <c r="S74" s="13"/>
      <c r="T74" s="5"/>
      <c r="U74" s="5"/>
      <c r="V74" s="5"/>
      <c r="W74" s="5"/>
      <c r="X74" s="5"/>
      <c r="Y74" s="11"/>
      <c r="Z74" s="8"/>
      <c r="AA74" s="10"/>
      <c r="AB74" s="5"/>
      <c r="AC74" s="10"/>
      <c r="AD74" s="9"/>
      <c r="AE74" s="5"/>
      <c r="AF74" s="11"/>
    </row>
    <row r="75" spans="1:32" x14ac:dyDescent="0.2">
      <c r="A75" s="8"/>
      <c r="B75" s="14"/>
      <c r="C75" s="14"/>
      <c r="D75" s="23"/>
      <c r="E75" s="19"/>
      <c r="F75" s="20"/>
      <c r="G75" s="20"/>
      <c r="H75" s="9"/>
      <c r="I75" s="5"/>
      <c r="J75" s="9"/>
      <c r="K75" s="9"/>
      <c r="L75" s="10"/>
      <c r="N75" s="9"/>
      <c r="O75" s="9"/>
      <c r="P75" s="5"/>
      <c r="Q75" s="10"/>
      <c r="S75" s="13"/>
      <c r="T75" s="5"/>
      <c r="U75" s="5"/>
      <c r="V75" s="5"/>
      <c r="W75" s="5"/>
      <c r="X75" s="5"/>
      <c r="Y75" s="11"/>
      <c r="Z75" s="8"/>
      <c r="AA75" s="10"/>
      <c r="AB75" s="5"/>
      <c r="AC75" s="10"/>
      <c r="AD75" s="9"/>
      <c r="AE75" s="5"/>
      <c r="AF75" s="11"/>
    </row>
    <row r="76" spans="1:32" x14ac:dyDescent="0.2">
      <c r="A76" s="8"/>
      <c r="B76" s="14"/>
      <c r="C76" s="14"/>
      <c r="D76" s="23"/>
      <c r="E76" s="19"/>
      <c r="F76" s="20"/>
      <c r="G76" s="20"/>
      <c r="H76" s="9"/>
      <c r="I76" s="5"/>
      <c r="J76" s="9"/>
      <c r="K76" s="9"/>
      <c r="L76" s="10"/>
      <c r="N76" s="9"/>
      <c r="O76" s="9"/>
      <c r="P76" s="5"/>
      <c r="Q76" s="10"/>
      <c r="S76" s="13"/>
      <c r="T76" s="5"/>
      <c r="U76" s="5"/>
      <c r="V76" s="5"/>
      <c r="W76" s="5"/>
      <c r="X76" s="5"/>
      <c r="Y76" s="11"/>
      <c r="Z76" s="8"/>
      <c r="AA76" s="10"/>
      <c r="AB76" s="5"/>
      <c r="AC76" s="10"/>
      <c r="AD76" s="9"/>
      <c r="AE76" s="5"/>
      <c r="AF76" s="11"/>
    </row>
    <row r="77" spans="1:32" x14ac:dyDescent="0.2">
      <c r="A77" s="8"/>
      <c r="B77" s="14"/>
      <c r="C77" s="14"/>
      <c r="D77" s="23"/>
      <c r="E77" s="19"/>
      <c r="F77" s="20"/>
      <c r="G77" s="20"/>
      <c r="H77" s="9"/>
      <c r="I77" s="5"/>
      <c r="J77" s="9"/>
      <c r="K77" s="9"/>
      <c r="L77" s="10"/>
      <c r="N77" s="9"/>
      <c r="O77" s="9"/>
      <c r="P77" s="5"/>
      <c r="Q77" s="10"/>
      <c r="S77" s="13"/>
      <c r="T77" s="5"/>
      <c r="U77" s="5"/>
      <c r="V77" s="5"/>
      <c r="W77" s="5"/>
      <c r="X77" s="5"/>
      <c r="Y77" s="11"/>
      <c r="Z77" s="8"/>
      <c r="AA77" s="10"/>
      <c r="AB77" s="5"/>
      <c r="AC77" s="10"/>
      <c r="AD77" s="9"/>
      <c r="AE77" s="5"/>
      <c r="AF77" s="11"/>
    </row>
    <row r="78" spans="1:32" x14ac:dyDescent="0.2">
      <c r="A78" s="8"/>
      <c r="B78" s="14"/>
      <c r="C78" s="14"/>
      <c r="D78" s="23"/>
      <c r="E78" s="19"/>
      <c r="F78" s="20"/>
      <c r="G78" s="20"/>
      <c r="H78" s="9"/>
      <c r="I78" s="5"/>
      <c r="J78" s="9"/>
      <c r="K78" s="9"/>
      <c r="L78" s="10"/>
      <c r="N78" s="9"/>
      <c r="O78" s="9"/>
      <c r="P78" s="5"/>
      <c r="Q78" s="10"/>
      <c r="S78" s="13"/>
      <c r="T78" s="5"/>
      <c r="U78" s="5"/>
      <c r="V78" s="5"/>
      <c r="W78" s="5"/>
      <c r="X78" s="5"/>
      <c r="Y78" s="11"/>
      <c r="Z78" s="8"/>
      <c r="AA78" s="10"/>
      <c r="AB78" s="5"/>
      <c r="AC78" s="10"/>
      <c r="AD78" s="9"/>
      <c r="AE78" s="5"/>
      <c r="AF78" s="11"/>
    </row>
    <row r="79" spans="1:32" x14ac:dyDescent="0.2">
      <c r="A79" s="8"/>
      <c r="B79" s="14"/>
      <c r="C79" s="14"/>
      <c r="D79" s="23"/>
      <c r="E79" s="19"/>
      <c r="F79" s="20"/>
      <c r="G79" s="20"/>
      <c r="H79" s="9"/>
      <c r="I79" s="5"/>
      <c r="J79" s="9"/>
      <c r="K79" s="9"/>
      <c r="L79" s="10"/>
      <c r="N79" s="9"/>
      <c r="O79" s="9"/>
      <c r="P79" s="5"/>
      <c r="Q79" s="10"/>
      <c r="S79" s="13"/>
      <c r="T79" s="5"/>
      <c r="U79" s="5"/>
      <c r="V79" s="5"/>
      <c r="W79" s="5"/>
      <c r="X79" s="5"/>
      <c r="Y79" s="11"/>
      <c r="Z79" s="8"/>
      <c r="AA79" s="10"/>
      <c r="AB79" s="5"/>
      <c r="AC79" s="10"/>
      <c r="AD79" s="9"/>
      <c r="AE79" s="5"/>
      <c r="AF79" s="11"/>
    </row>
    <row r="80" spans="1:32" x14ac:dyDescent="0.2">
      <c r="A80" s="8"/>
      <c r="B80" s="14"/>
      <c r="C80" s="14"/>
      <c r="D80" s="23"/>
      <c r="E80" s="19"/>
      <c r="F80" s="20"/>
      <c r="G80" s="20"/>
      <c r="H80" s="9"/>
      <c r="I80" s="5"/>
      <c r="J80" s="9"/>
      <c r="K80" s="9"/>
      <c r="L80" s="10"/>
      <c r="N80" s="9"/>
      <c r="O80" s="9"/>
      <c r="P80" s="5"/>
      <c r="Q80" s="10"/>
      <c r="S80" s="13"/>
      <c r="T80" s="5"/>
      <c r="U80" s="5"/>
      <c r="V80" s="5"/>
      <c r="W80" s="5"/>
      <c r="X80" s="5"/>
      <c r="Y80" s="11"/>
      <c r="Z80" s="8"/>
      <c r="AA80" s="10"/>
      <c r="AB80" s="5"/>
      <c r="AC80" s="10"/>
      <c r="AD80" s="9"/>
      <c r="AE80" s="5"/>
      <c r="AF80" s="11"/>
    </row>
    <row r="81" spans="1:32" x14ac:dyDescent="0.2">
      <c r="A81" s="8"/>
      <c r="B81" s="14"/>
      <c r="C81" s="14"/>
      <c r="D81" s="23"/>
      <c r="E81" s="19"/>
      <c r="F81" s="20"/>
      <c r="G81" s="20"/>
      <c r="H81" s="9"/>
      <c r="I81" s="5"/>
      <c r="J81" s="9"/>
      <c r="K81" s="9"/>
      <c r="L81" s="10"/>
      <c r="N81" s="9"/>
      <c r="O81" s="9"/>
      <c r="P81" s="5"/>
      <c r="Q81" s="10"/>
      <c r="S81" s="13"/>
      <c r="T81" s="5"/>
      <c r="U81" s="5"/>
      <c r="V81" s="5"/>
      <c r="W81" s="5"/>
      <c r="X81" s="5"/>
      <c r="Y81" s="11"/>
      <c r="Z81" s="8"/>
      <c r="AA81" s="10"/>
      <c r="AB81" s="5"/>
      <c r="AC81" s="10"/>
      <c r="AD81" s="9"/>
      <c r="AE81" s="5"/>
      <c r="AF81" s="11"/>
    </row>
    <row r="82" spans="1:32" x14ac:dyDescent="0.2">
      <c r="A82" s="8"/>
      <c r="B82" s="14"/>
      <c r="C82" s="14"/>
      <c r="D82" s="23"/>
      <c r="E82" s="19"/>
      <c r="F82" s="20"/>
      <c r="G82" s="20"/>
      <c r="H82" s="9"/>
      <c r="I82" s="5"/>
      <c r="J82" s="9"/>
      <c r="K82" s="9"/>
      <c r="L82" s="10"/>
      <c r="N82" s="9"/>
      <c r="O82" s="9"/>
      <c r="P82" s="5"/>
      <c r="Q82" s="10"/>
      <c r="S82" s="13"/>
      <c r="T82" s="5"/>
      <c r="U82" s="5"/>
      <c r="V82" s="5"/>
      <c r="W82" s="5"/>
      <c r="X82" s="5"/>
      <c r="Y82" s="11"/>
      <c r="Z82" s="8"/>
      <c r="AA82" s="10"/>
      <c r="AB82" s="5"/>
      <c r="AC82" s="10"/>
      <c r="AD82" s="9"/>
      <c r="AE82" s="5"/>
      <c r="AF82" s="11"/>
    </row>
    <row r="83" spans="1:32" x14ac:dyDescent="0.2">
      <c r="A83" s="8"/>
      <c r="B83" s="14"/>
      <c r="C83" s="14"/>
      <c r="D83" s="23"/>
      <c r="E83" s="19"/>
      <c r="F83" s="20"/>
      <c r="G83" s="20"/>
      <c r="H83" s="9"/>
      <c r="I83" s="5"/>
      <c r="J83" s="9"/>
      <c r="K83" s="9"/>
      <c r="L83" s="10"/>
      <c r="N83" s="9"/>
      <c r="O83" s="9"/>
      <c r="P83" s="5"/>
      <c r="Q83" s="10"/>
      <c r="S83" s="13"/>
      <c r="T83" s="5"/>
      <c r="U83" s="5"/>
      <c r="V83" s="5"/>
      <c r="W83" s="5"/>
      <c r="X83" s="5"/>
      <c r="Y83" s="11"/>
      <c r="Z83" s="8"/>
      <c r="AA83" s="10"/>
      <c r="AB83" s="5"/>
      <c r="AC83" s="10"/>
      <c r="AD83" s="9"/>
      <c r="AE83" s="5"/>
      <c r="AF83" s="11"/>
    </row>
    <row r="84" spans="1:32" x14ac:dyDescent="0.2">
      <c r="A84" s="8"/>
      <c r="B84" s="14"/>
      <c r="C84" s="14"/>
      <c r="D84" s="23"/>
      <c r="E84" s="19"/>
      <c r="F84" s="22"/>
      <c r="G84" s="22"/>
      <c r="H84" s="9"/>
      <c r="I84" s="5"/>
      <c r="J84" s="9"/>
      <c r="K84" s="9"/>
      <c r="L84" s="10"/>
      <c r="N84" s="9"/>
      <c r="O84" s="9"/>
      <c r="P84" s="5"/>
      <c r="Q84" s="10"/>
      <c r="S84" s="13"/>
      <c r="T84" s="5"/>
      <c r="U84" s="5"/>
      <c r="V84" s="5"/>
      <c r="W84" s="5"/>
      <c r="X84" s="5"/>
      <c r="Y84" s="11"/>
      <c r="Z84" s="8"/>
      <c r="AA84" s="10"/>
      <c r="AB84" s="5"/>
      <c r="AC84" s="10"/>
      <c r="AD84" s="9"/>
      <c r="AE84" s="5"/>
      <c r="AF84" s="11"/>
    </row>
    <row r="85" spans="1:32" x14ac:dyDescent="0.2">
      <c r="A85" s="8"/>
      <c r="B85" s="14"/>
      <c r="C85" s="14"/>
      <c r="D85" s="23"/>
      <c r="E85" s="19"/>
      <c r="F85" s="22"/>
      <c r="G85" s="22"/>
      <c r="H85" s="9"/>
      <c r="I85" s="5"/>
      <c r="J85" s="9"/>
      <c r="K85" s="9"/>
      <c r="L85" s="10"/>
      <c r="N85" s="9"/>
      <c r="O85" s="9"/>
      <c r="P85" s="5"/>
      <c r="Q85" s="10"/>
      <c r="S85" s="13"/>
      <c r="T85" s="5"/>
      <c r="U85" s="5"/>
      <c r="V85" s="5"/>
      <c r="W85" s="5"/>
      <c r="X85" s="5"/>
      <c r="Y85" s="11"/>
      <c r="Z85" s="8"/>
      <c r="AA85" s="10"/>
      <c r="AB85" s="5"/>
      <c r="AC85" s="10"/>
      <c r="AD85" s="9"/>
      <c r="AE85" s="5"/>
      <c r="AF85" s="11"/>
    </row>
    <row r="86" spans="1:32" x14ac:dyDescent="0.2">
      <c r="A86" s="8"/>
      <c r="B86" s="14"/>
      <c r="C86" s="14"/>
      <c r="D86" s="23"/>
      <c r="E86" s="19"/>
      <c r="F86" s="20"/>
      <c r="G86" s="20"/>
      <c r="H86" s="9"/>
      <c r="I86" s="5"/>
      <c r="J86" s="9"/>
      <c r="K86" s="9"/>
      <c r="L86" s="10"/>
      <c r="N86" s="9"/>
      <c r="O86" s="9"/>
      <c r="P86" s="5"/>
      <c r="Q86" s="10"/>
      <c r="S86" s="13"/>
      <c r="T86" s="5"/>
      <c r="U86" s="5"/>
      <c r="V86" s="5"/>
      <c r="W86" s="5"/>
      <c r="X86" s="5"/>
      <c r="Y86" s="11"/>
      <c r="Z86" s="8"/>
      <c r="AA86" s="10"/>
      <c r="AB86" s="5"/>
      <c r="AC86" s="10"/>
      <c r="AD86" s="9"/>
      <c r="AE86" s="5"/>
      <c r="AF86" s="11"/>
    </row>
    <row r="87" spans="1:32" x14ac:dyDescent="0.2">
      <c r="A87" s="8"/>
      <c r="B87" s="14"/>
      <c r="C87" s="14"/>
      <c r="D87" s="23"/>
      <c r="E87" s="19"/>
      <c r="F87" s="20"/>
      <c r="G87" s="20"/>
      <c r="H87" s="9"/>
      <c r="I87" s="5"/>
      <c r="J87" s="9"/>
      <c r="K87" s="9"/>
      <c r="L87" s="10"/>
      <c r="N87" s="9"/>
      <c r="O87" s="9"/>
      <c r="P87" s="5"/>
      <c r="Q87" s="10"/>
      <c r="S87" s="13"/>
      <c r="T87" s="5"/>
      <c r="U87" s="5"/>
      <c r="V87" s="5"/>
      <c r="W87" s="5"/>
      <c r="X87" s="5"/>
      <c r="Y87" s="11"/>
      <c r="Z87" s="8"/>
      <c r="AA87" s="10"/>
      <c r="AB87" s="5"/>
      <c r="AC87" s="10"/>
      <c r="AD87" s="9"/>
      <c r="AE87" s="5"/>
      <c r="AF87" s="11"/>
    </row>
    <row r="88" spans="1:32" x14ac:dyDescent="0.2">
      <c r="A88" s="8"/>
      <c r="B88" s="14"/>
      <c r="C88" s="14"/>
      <c r="D88" s="23"/>
      <c r="E88" s="19"/>
      <c r="F88" s="20"/>
      <c r="G88" s="20"/>
      <c r="H88" s="9"/>
      <c r="I88" s="5"/>
      <c r="J88" s="9"/>
      <c r="K88" s="9"/>
      <c r="L88" s="10"/>
      <c r="N88" s="9"/>
      <c r="O88" s="9"/>
      <c r="P88" s="5"/>
      <c r="Q88" s="10"/>
      <c r="S88" s="13"/>
      <c r="T88" s="5"/>
      <c r="U88" s="5"/>
      <c r="V88" s="5"/>
      <c r="W88" s="5"/>
      <c r="X88" s="5"/>
      <c r="Y88" s="11"/>
      <c r="Z88" s="8"/>
      <c r="AA88" s="10"/>
      <c r="AB88" s="5"/>
      <c r="AC88" s="10"/>
      <c r="AD88" s="9"/>
      <c r="AE88" s="5"/>
      <c r="AF88" s="11"/>
    </row>
    <row r="89" spans="1:32" x14ac:dyDescent="0.2">
      <c r="A89" s="8"/>
      <c r="B89" s="14"/>
      <c r="C89" s="14"/>
      <c r="D89" s="23"/>
      <c r="E89" s="19"/>
      <c r="F89" s="20"/>
      <c r="G89" s="20"/>
      <c r="H89" s="9"/>
      <c r="I89" s="5"/>
      <c r="J89" s="9"/>
      <c r="K89" s="9"/>
      <c r="L89" s="10"/>
      <c r="N89" s="9"/>
      <c r="O89" s="9"/>
      <c r="P89" s="5"/>
      <c r="Q89" s="10"/>
      <c r="S89" s="13"/>
      <c r="T89" s="5"/>
      <c r="U89" s="5"/>
      <c r="V89" s="5"/>
      <c r="W89" s="5"/>
      <c r="X89" s="5"/>
      <c r="Y89" s="11"/>
      <c r="Z89" s="8"/>
      <c r="AA89" s="10"/>
      <c r="AB89" s="5"/>
      <c r="AC89" s="10"/>
      <c r="AD89" s="9"/>
      <c r="AE89" s="5"/>
      <c r="AF89" s="11"/>
    </row>
    <row r="90" spans="1:32" x14ac:dyDescent="0.2">
      <c r="A90" s="8"/>
      <c r="B90" s="14"/>
      <c r="C90" s="14"/>
      <c r="D90" s="23"/>
      <c r="E90" s="19"/>
      <c r="F90" s="20"/>
      <c r="G90" s="20"/>
      <c r="H90" s="9"/>
      <c r="I90" s="5"/>
      <c r="J90" s="9"/>
      <c r="K90" s="9"/>
      <c r="L90" s="10"/>
      <c r="N90" s="9"/>
      <c r="O90" s="9"/>
      <c r="P90" s="5"/>
      <c r="Q90" s="10"/>
      <c r="S90" s="13"/>
      <c r="T90" s="5"/>
      <c r="U90" s="5"/>
      <c r="V90" s="5"/>
      <c r="W90" s="5"/>
      <c r="X90" s="5"/>
      <c r="Y90" s="11"/>
      <c r="Z90" s="8"/>
      <c r="AA90" s="10"/>
      <c r="AB90" s="5"/>
      <c r="AC90" s="10"/>
      <c r="AD90" s="9"/>
      <c r="AE90" s="5"/>
      <c r="AF90" s="11"/>
    </row>
    <row r="91" spans="1:32" x14ac:dyDescent="0.2">
      <c r="A91" s="8"/>
      <c r="B91" s="14"/>
      <c r="C91" s="14"/>
      <c r="D91" s="23"/>
      <c r="E91" s="19"/>
      <c r="F91" s="20"/>
      <c r="G91" s="20"/>
      <c r="H91" s="9"/>
      <c r="I91" s="5"/>
      <c r="J91" s="9"/>
      <c r="K91" s="9"/>
      <c r="L91" s="10"/>
      <c r="N91" s="9"/>
      <c r="O91" s="9"/>
      <c r="P91" s="5"/>
      <c r="Q91" s="10"/>
      <c r="S91" s="13"/>
      <c r="T91" s="5"/>
      <c r="U91" s="5"/>
      <c r="V91" s="5"/>
      <c r="W91" s="5"/>
      <c r="X91" s="5"/>
      <c r="Y91" s="11"/>
      <c r="Z91" s="8"/>
      <c r="AA91" s="10"/>
      <c r="AB91" s="5"/>
      <c r="AC91" s="10"/>
      <c r="AD91" s="9"/>
      <c r="AE91" s="5"/>
      <c r="AF91" s="11"/>
    </row>
    <row r="92" spans="1:32" x14ac:dyDescent="0.2">
      <c r="A92" s="8"/>
      <c r="B92" s="14"/>
      <c r="C92" s="23"/>
      <c r="D92" s="23"/>
      <c r="E92" s="19"/>
      <c r="F92" s="20"/>
      <c r="G92" s="20"/>
      <c r="H92" s="9"/>
      <c r="I92" s="5"/>
      <c r="J92" s="9"/>
      <c r="K92" s="9"/>
      <c r="L92" s="10"/>
      <c r="N92" s="9"/>
      <c r="O92" s="9"/>
      <c r="P92" s="5"/>
      <c r="Q92" s="10"/>
      <c r="S92" s="13"/>
      <c r="T92" s="5"/>
      <c r="U92" s="5"/>
      <c r="V92" s="5"/>
      <c r="W92" s="5"/>
      <c r="X92" s="5"/>
      <c r="Y92" s="11"/>
      <c r="Z92" s="8"/>
      <c r="AA92" s="10"/>
      <c r="AB92" s="5"/>
      <c r="AC92" s="10"/>
      <c r="AD92" s="9"/>
      <c r="AE92" s="5"/>
      <c r="AF92" s="11"/>
    </row>
    <row r="93" spans="1:32" x14ac:dyDescent="0.2">
      <c r="A93" s="8"/>
      <c r="B93" s="14"/>
      <c r="C93" s="23"/>
      <c r="D93" s="23"/>
      <c r="E93" s="19"/>
      <c r="F93" s="20"/>
      <c r="G93" s="20"/>
      <c r="H93" s="9"/>
      <c r="I93" s="5"/>
      <c r="J93" s="9"/>
      <c r="K93" s="9"/>
      <c r="L93" s="10"/>
      <c r="N93" s="9"/>
      <c r="O93" s="9"/>
      <c r="P93" s="5"/>
      <c r="Q93" s="10"/>
      <c r="S93" s="13"/>
      <c r="T93" s="5"/>
      <c r="U93" s="5"/>
      <c r="V93" s="5"/>
      <c r="W93" s="5"/>
      <c r="X93" s="5"/>
      <c r="Y93" s="11"/>
      <c r="Z93" s="8"/>
      <c r="AA93" s="10"/>
      <c r="AB93" s="5"/>
      <c r="AC93" s="10"/>
      <c r="AD93" s="9"/>
      <c r="AE93" s="5"/>
      <c r="AF93" s="11"/>
    </row>
    <row r="94" spans="1:32" x14ac:dyDescent="0.2">
      <c r="A94" s="8"/>
      <c r="B94" s="14"/>
      <c r="C94" s="23"/>
      <c r="D94" s="23"/>
      <c r="E94" s="19"/>
      <c r="F94" s="20"/>
      <c r="G94" s="20"/>
      <c r="H94" s="9"/>
      <c r="I94" s="5"/>
      <c r="J94" s="9"/>
      <c r="K94" s="9"/>
      <c r="L94" s="10"/>
      <c r="N94" s="9"/>
      <c r="O94" s="9"/>
      <c r="P94" s="5"/>
      <c r="Q94" s="10"/>
      <c r="S94" s="13"/>
      <c r="T94" s="5"/>
      <c r="U94" s="5"/>
      <c r="V94" s="5"/>
      <c r="W94" s="5"/>
      <c r="X94" s="5"/>
      <c r="Y94" s="11"/>
      <c r="Z94" s="8"/>
      <c r="AA94" s="10"/>
      <c r="AB94" s="5"/>
      <c r="AC94" s="10"/>
      <c r="AD94" s="9"/>
      <c r="AE94" s="5"/>
      <c r="AF94" s="11"/>
    </row>
    <row r="95" spans="1:32" x14ac:dyDescent="0.2">
      <c r="A95" s="8"/>
      <c r="B95" s="14"/>
      <c r="C95" s="23"/>
      <c r="D95" s="23"/>
      <c r="E95" s="19"/>
      <c r="F95" s="20"/>
      <c r="G95" s="20"/>
      <c r="H95" s="9"/>
      <c r="I95" s="5"/>
      <c r="J95" s="9"/>
      <c r="K95" s="9"/>
      <c r="L95" s="10"/>
      <c r="N95" s="9"/>
      <c r="O95" s="9"/>
      <c r="P95" s="5"/>
      <c r="Q95" s="10"/>
      <c r="S95" s="13"/>
      <c r="T95" s="5"/>
      <c r="U95" s="5"/>
      <c r="V95" s="5"/>
      <c r="W95" s="5"/>
      <c r="X95" s="5"/>
      <c r="Y95" s="11"/>
      <c r="Z95" s="8"/>
      <c r="AA95" s="10"/>
    </row>
    <row r="96" spans="1:32" x14ac:dyDescent="0.2">
      <c r="A96" s="8"/>
      <c r="B96" s="14"/>
      <c r="C96" s="23"/>
      <c r="D96" s="23"/>
      <c r="E96" s="19"/>
      <c r="F96" s="20"/>
      <c r="G96" s="20"/>
      <c r="H96" s="9"/>
      <c r="I96" s="5"/>
      <c r="J96" s="9"/>
      <c r="K96" s="9"/>
      <c r="L96" s="10"/>
      <c r="N96" s="9"/>
      <c r="O96" s="9"/>
      <c r="P96" s="5"/>
      <c r="Q96" s="10"/>
      <c r="S96" s="13"/>
      <c r="T96" s="5"/>
      <c r="U96" s="5"/>
      <c r="V96" s="5"/>
      <c r="W96" s="5"/>
      <c r="X96" s="5"/>
      <c r="Y96" s="11"/>
      <c r="Z96" s="8"/>
      <c r="AA96" s="10"/>
    </row>
    <row r="97" spans="1:27" x14ac:dyDescent="0.2">
      <c r="A97" s="8"/>
      <c r="B97" s="14"/>
      <c r="C97" s="14"/>
      <c r="D97" s="23"/>
      <c r="E97" s="19"/>
      <c r="F97" s="20"/>
      <c r="G97" s="20"/>
      <c r="H97" s="9"/>
      <c r="I97" s="5"/>
      <c r="J97" s="9"/>
      <c r="K97" s="9"/>
      <c r="L97" s="10"/>
      <c r="N97" s="9"/>
      <c r="O97" s="9"/>
      <c r="P97" s="5"/>
      <c r="Q97" s="10"/>
      <c r="S97" s="13"/>
      <c r="T97" s="5"/>
      <c r="U97" s="5"/>
      <c r="V97" s="5"/>
      <c r="W97" s="5"/>
      <c r="X97" s="5"/>
      <c r="Y97" s="11"/>
      <c r="Z97" s="8"/>
      <c r="AA97" s="10"/>
    </row>
    <row r="98" spans="1:27" x14ac:dyDescent="0.2">
      <c r="A98" s="8"/>
      <c r="B98" s="14"/>
      <c r="C98" s="14"/>
      <c r="D98" s="23"/>
      <c r="E98" s="19"/>
      <c r="F98" s="20"/>
      <c r="G98" s="20"/>
      <c r="H98" s="9"/>
      <c r="I98" s="5"/>
      <c r="J98" s="9"/>
      <c r="K98" s="9"/>
      <c r="L98" s="10"/>
      <c r="N98" s="9"/>
      <c r="O98" s="9"/>
      <c r="P98" s="5"/>
      <c r="Q98" s="10"/>
      <c r="S98" s="13"/>
      <c r="T98" s="5"/>
      <c r="U98" s="5"/>
      <c r="V98" s="5"/>
      <c r="W98" s="5"/>
      <c r="X98" s="5"/>
      <c r="Y98" s="11"/>
      <c r="Z98" s="8"/>
      <c r="AA98" s="10"/>
    </row>
    <row r="99" spans="1:27" x14ac:dyDescent="0.2">
      <c r="A99" s="8"/>
      <c r="B99" s="14"/>
      <c r="C99" s="14"/>
      <c r="D99" s="23"/>
      <c r="E99" s="19"/>
      <c r="F99" s="20"/>
      <c r="G99" s="20"/>
      <c r="H99" s="9"/>
      <c r="I99" s="5"/>
      <c r="J99" s="9"/>
      <c r="K99" s="9"/>
      <c r="L99" s="10"/>
      <c r="N99" s="9"/>
      <c r="O99" s="9"/>
      <c r="P99" s="5"/>
      <c r="Q99" s="10"/>
      <c r="S99" s="13"/>
      <c r="T99" s="5"/>
      <c r="U99" s="5"/>
      <c r="V99" s="5"/>
      <c r="W99" s="5"/>
      <c r="X99" s="5"/>
      <c r="Y99" s="11"/>
      <c r="Z99" s="8"/>
      <c r="AA99" s="10"/>
    </row>
    <row r="100" spans="1:27" x14ac:dyDescent="0.2">
      <c r="A100" s="8"/>
      <c r="B100" s="14"/>
      <c r="C100" s="14"/>
      <c r="D100" s="23"/>
      <c r="E100" s="19"/>
      <c r="F100" s="22"/>
      <c r="G100" s="22"/>
      <c r="H100" s="9"/>
      <c r="I100" s="5"/>
      <c r="J100" s="9"/>
      <c r="K100" s="9"/>
      <c r="L100" s="10"/>
      <c r="N100" s="9"/>
      <c r="O100" s="9"/>
      <c r="P100" s="5"/>
      <c r="Q100" s="10"/>
      <c r="S100" s="13"/>
      <c r="T100" s="5"/>
      <c r="U100" s="5"/>
      <c r="V100" s="5"/>
      <c r="W100" s="5"/>
      <c r="X100" s="5"/>
      <c r="Y100" s="11"/>
      <c r="Z100" s="8"/>
      <c r="AA100" s="10"/>
    </row>
    <row r="101" spans="1:27" x14ac:dyDescent="0.2">
      <c r="A101" s="8"/>
      <c r="B101" s="14"/>
      <c r="C101" s="14"/>
      <c r="D101" s="23"/>
      <c r="E101" s="19"/>
      <c r="F101" s="22"/>
      <c r="G101" s="22"/>
      <c r="H101" s="9"/>
      <c r="I101" s="5"/>
      <c r="J101" s="9"/>
      <c r="K101" s="9"/>
      <c r="L101" s="10"/>
      <c r="N101" s="9"/>
      <c r="O101" s="9"/>
      <c r="P101" s="5"/>
      <c r="Q101" s="10"/>
      <c r="S101" s="13"/>
      <c r="T101" s="5"/>
      <c r="U101" s="5"/>
      <c r="V101" s="5"/>
      <c r="W101" s="5"/>
      <c r="X101" s="5"/>
      <c r="Y101" s="11"/>
      <c r="Z101" s="8"/>
      <c r="AA101" s="10"/>
    </row>
    <row r="102" spans="1:27" x14ac:dyDescent="0.2">
      <c r="A102" s="8"/>
      <c r="B102" s="14"/>
      <c r="C102" s="14"/>
      <c r="D102" s="23"/>
      <c r="E102" s="19"/>
      <c r="F102" s="20"/>
      <c r="G102" s="20"/>
      <c r="H102" s="9"/>
      <c r="I102" s="5"/>
      <c r="J102" s="9"/>
      <c r="K102" s="9"/>
      <c r="L102" s="10"/>
      <c r="N102" s="9"/>
      <c r="O102" s="9"/>
      <c r="P102" s="5"/>
      <c r="Q102" s="10"/>
      <c r="S102" s="13"/>
      <c r="T102" s="5"/>
      <c r="U102" s="5"/>
      <c r="V102" s="5"/>
      <c r="W102" s="5"/>
      <c r="X102" s="5"/>
      <c r="Y102" s="11"/>
      <c r="Z102" s="8"/>
      <c r="AA102" s="10"/>
    </row>
    <row r="103" spans="1:27" x14ac:dyDescent="0.2">
      <c r="A103" s="8"/>
      <c r="B103" s="14"/>
      <c r="C103" s="14"/>
      <c r="D103" s="23"/>
      <c r="E103" s="19"/>
      <c r="F103" s="20"/>
      <c r="G103" s="20"/>
      <c r="H103" s="9"/>
      <c r="I103" s="5"/>
      <c r="J103" s="9"/>
      <c r="K103" s="9"/>
      <c r="L103" s="10"/>
      <c r="N103" s="9"/>
      <c r="O103" s="9"/>
      <c r="P103" s="5"/>
      <c r="Q103" s="10"/>
      <c r="S103" s="13"/>
      <c r="T103" s="5"/>
      <c r="U103" s="5"/>
      <c r="V103" s="5"/>
      <c r="W103" s="5"/>
      <c r="X103" s="5"/>
      <c r="Y103" s="11"/>
      <c r="Z103" s="8"/>
      <c r="AA103" s="10"/>
    </row>
    <row r="104" spans="1:27" x14ac:dyDescent="0.2">
      <c r="A104" s="8"/>
      <c r="B104" s="14"/>
      <c r="C104" s="14"/>
      <c r="D104" s="23"/>
      <c r="E104" s="19"/>
      <c r="F104" s="20"/>
      <c r="G104" s="20"/>
      <c r="H104" s="9"/>
      <c r="I104" s="5"/>
      <c r="J104" s="9"/>
      <c r="K104" s="9"/>
      <c r="L104" s="10"/>
      <c r="N104" s="9"/>
      <c r="O104" s="9"/>
      <c r="P104" s="5"/>
      <c r="Q104" s="10"/>
      <c r="S104" s="13"/>
      <c r="T104" s="5"/>
      <c r="U104" s="5"/>
      <c r="V104" s="5"/>
      <c r="W104" s="5"/>
      <c r="X104" s="5"/>
      <c r="Y104" s="11"/>
      <c r="Z104" s="8"/>
      <c r="AA104" s="10"/>
    </row>
    <row r="105" spans="1:27" x14ac:dyDescent="0.2">
      <c r="A105" s="8"/>
      <c r="B105" s="14"/>
      <c r="C105" s="14"/>
      <c r="D105" s="23"/>
      <c r="E105" s="19"/>
      <c r="F105" s="20"/>
      <c r="G105" s="20"/>
      <c r="H105" s="9"/>
      <c r="I105" s="5"/>
      <c r="J105" s="9"/>
      <c r="K105" s="9"/>
      <c r="L105" s="10"/>
      <c r="N105" s="9"/>
      <c r="O105" s="9"/>
      <c r="P105" s="5"/>
      <c r="Q105" s="10"/>
      <c r="S105" s="13"/>
      <c r="T105" s="5"/>
      <c r="U105" s="5"/>
      <c r="V105" s="5"/>
      <c r="W105" s="5"/>
      <c r="X105" s="5"/>
      <c r="Y105" s="11"/>
      <c r="Z105" s="8"/>
      <c r="AA105" s="10"/>
    </row>
    <row r="106" spans="1:27" x14ac:dyDescent="0.2">
      <c r="A106" s="8"/>
      <c r="B106" s="14"/>
      <c r="C106" s="14"/>
      <c r="D106" s="23"/>
      <c r="E106" s="19"/>
      <c r="F106" s="20"/>
      <c r="G106" s="20"/>
      <c r="H106" s="9"/>
      <c r="I106" s="5"/>
      <c r="J106" s="9"/>
      <c r="K106" s="9"/>
      <c r="L106" s="10"/>
      <c r="N106" s="9"/>
      <c r="O106" s="9"/>
      <c r="P106" s="5"/>
      <c r="Q106" s="10"/>
      <c r="S106" s="13"/>
      <c r="T106" s="5"/>
      <c r="U106" s="5"/>
      <c r="V106" s="5"/>
      <c r="W106" s="5"/>
      <c r="X106" s="5"/>
      <c r="Y106" s="11"/>
      <c r="Z106" s="8"/>
      <c r="AA106" s="10"/>
    </row>
    <row r="107" spans="1:27" x14ac:dyDescent="0.2">
      <c r="A107" s="8"/>
      <c r="B107" s="14"/>
      <c r="C107" s="14"/>
      <c r="D107" s="23"/>
      <c r="E107" s="19"/>
      <c r="F107" s="20"/>
      <c r="G107" s="20"/>
      <c r="H107" s="9"/>
      <c r="I107" s="5"/>
      <c r="J107" s="9"/>
      <c r="K107" s="9"/>
      <c r="L107" s="10"/>
      <c r="N107" s="9"/>
      <c r="O107" s="9"/>
      <c r="P107" s="5"/>
      <c r="Q107" s="10"/>
      <c r="S107" s="10"/>
      <c r="T107" s="5"/>
      <c r="U107" s="5"/>
      <c r="V107" s="5"/>
      <c r="W107" s="5"/>
      <c r="X107" s="5"/>
      <c r="Y107" s="11"/>
      <c r="Z107" s="8"/>
      <c r="AA107" s="10"/>
    </row>
    <row r="108" spans="1:27" x14ac:dyDescent="0.2">
      <c r="A108" s="8"/>
      <c r="B108" s="14"/>
      <c r="C108" s="14"/>
      <c r="D108" s="23"/>
      <c r="E108" s="19"/>
      <c r="F108" s="20"/>
      <c r="G108" s="20"/>
      <c r="H108" s="9"/>
      <c r="I108" s="5"/>
      <c r="J108" s="9"/>
      <c r="K108" s="9"/>
      <c r="L108" s="10"/>
      <c r="N108" s="9"/>
      <c r="O108" s="9"/>
      <c r="P108" s="5"/>
      <c r="Q108" s="10"/>
      <c r="S108" s="10"/>
      <c r="T108" s="11"/>
      <c r="U108" s="13"/>
      <c r="V108" s="13"/>
      <c r="W108" s="5"/>
      <c r="X108" s="5"/>
      <c r="Y108" s="5"/>
      <c r="Z108" s="8"/>
      <c r="AA108" s="10"/>
    </row>
    <row r="109" spans="1:27" x14ac:dyDescent="0.2">
      <c r="A109" s="8"/>
      <c r="B109" s="14"/>
      <c r="C109" s="14"/>
      <c r="D109" s="23"/>
      <c r="E109" s="19"/>
      <c r="F109" s="20"/>
      <c r="G109" s="20"/>
      <c r="H109" s="9"/>
      <c r="I109" s="5"/>
      <c r="J109" s="9"/>
      <c r="K109" s="9"/>
      <c r="L109" s="10"/>
      <c r="N109" s="9"/>
      <c r="O109" s="9"/>
      <c r="P109" s="5"/>
      <c r="Q109" s="10"/>
      <c r="S109" s="10"/>
      <c r="T109" s="11"/>
      <c r="U109" s="13"/>
      <c r="V109" s="13"/>
      <c r="W109" s="5"/>
      <c r="X109" s="5"/>
      <c r="Y109" s="5"/>
      <c r="Z109" s="8"/>
      <c r="AA109" s="10"/>
    </row>
    <row r="110" spans="1:27" x14ac:dyDescent="0.2">
      <c r="A110" s="8"/>
      <c r="B110" s="14"/>
      <c r="C110" s="14"/>
      <c r="D110" s="23"/>
      <c r="E110" s="19"/>
      <c r="F110" s="20"/>
      <c r="G110" s="20"/>
      <c r="H110" s="9"/>
      <c r="I110" s="5"/>
      <c r="J110" s="9"/>
      <c r="K110" s="9"/>
      <c r="L110" s="10"/>
      <c r="N110" s="9"/>
      <c r="O110" s="9"/>
      <c r="P110" s="5"/>
      <c r="Q110" s="10"/>
      <c r="S110" s="10"/>
      <c r="T110" s="11"/>
      <c r="U110" s="13"/>
      <c r="V110" s="13"/>
      <c r="W110" s="5"/>
      <c r="X110" s="5"/>
      <c r="Y110" s="5"/>
      <c r="Z110" s="8"/>
      <c r="AA110" s="10"/>
    </row>
    <row r="111" spans="1:27" x14ac:dyDescent="0.2">
      <c r="A111" s="8"/>
      <c r="B111" s="14"/>
      <c r="C111" s="14"/>
      <c r="D111" s="23"/>
      <c r="E111" s="19"/>
      <c r="F111" s="20"/>
      <c r="G111" s="20"/>
      <c r="H111" s="9"/>
      <c r="I111" s="5"/>
      <c r="J111" s="9"/>
      <c r="K111" s="9"/>
      <c r="L111" s="10"/>
      <c r="N111" s="9"/>
      <c r="O111" s="9"/>
      <c r="P111" s="5"/>
      <c r="Q111" s="10"/>
      <c r="S111" s="10"/>
      <c r="T111" s="11"/>
      <c r="U111" s="13"/>
      <c r="V111" s="13"/>
      <c r="W111" s="5"/>
      <c r="X111" s="5"/>
      <c r="Y111" s="5"/>
      <c r="Z111" s="8"/>
      <c r="AA111" s="10"/>
    </row>
    <row r="112" spans="1:27" x14ac:dyDescent="0.2">
      <c r="A112" s="8"/>
      <c r="B112" s="14"/>
      <c r="C112" s="14"/>
      <c r="D112" s="23"/>
      <c r="E112" s="19"/>
      <c r="F112" s="20"/>
      <c r="G112" s="20"/>
      <c r="H112" s="9"/>
      <c r="I112" s="5"/>
      <c r="J112" s="9"/>
      <c r="K112" s="9"/>
      <c r="L112" s="10"/>
      <c r="N112" s="9"/>
      <c r="O112" s="9"/>
      <c r="P112" s="5"/>
      <c r="Q112" s="10"/>
      <c r="S112" s="10"/>
      <c r="T112" s="11"/>
      <c r="U112" s="13"/>
      <c r="V112" s="13"/>
      <c r="W112" s="5"/>
      <c r="X112" s="5"/>
      <c r="Y112" s="5"/>
      <c r="Z112" s="8"/>
      <c r="AA112" s="10"/>
    </row>
    <row r="113" spans="1:27" x14ac:dyDescent="0.2">
      <c r="A113" s="8"/>
      <c r="B113" s="14"/>
      <c r="C113" s="14"/>
      <c r="D113" s="23"/>
      <c r="E113" s="19"/>
      <c r="F113" s="20"/>
      <c r="G113" s="20"/>
      <c r="H113" s="9"/>
      <c r="I113" s="5"/>
      <c r="J113" s="9"/>
      <c r="K113" s="9"/>
      <c r="L113" s="10"/>
      <c r="N113" s="9"/>
      <c r="O113" s="9"/>
      <c r="P113" s="5"/>
      <c r="Q113" s="10"/>
      <c r="S113" s="10"/>
      <c r="T113" s="11"/>
      <c r="U113" s="13"/>
      <c r="V113" s="13"/>
      <c r="W113" s="5"/>
      <c r="X113" s="5"/>
      <c r="Y113" s="5"/>
      <c r="Z113" s="8"/>
      <c r="AA113" s="10"/>
    </row>
    <row r="114" spans="1:27" x14ac:dyDescent="0.2">
      <c r="A114" s="8"/>
      <c r="B114" s="14"/>
      <c r="C114" s="14"/>
      <c r="D114" s="23"/>
      <c r="E114" s="19"/>
      <c r="F114" s="22"/>
      <c r="G114" s="22"/>
      <c r="H114" s="9"/>
      <c r="I114" s="5"/>
      <c r="J114" s="9"/>
      <c r="K114" s="9"/>
      <c r="L114" s="10"/>
      <c r="N114" s="9"/>
      <c r="O114" s="9"/>
      <c r="P114" s="5"/>
      <c r="Q114" s="10"/>
      <c r="S114" s="10"/>
      <c r="T114" s="11"/>
      <c r="U114" s="13"/>
      <c r="V114" s="13"/>
      <c r="W114" s="5"/>
      <c r="X114" s="5"/>
      <c r="Y114" s="5"/>
      <c r="Z114" s="8"/>
      <c r="AA114" s="10"/>
    </row>
    <row r="115" spans="1:27" x14ac:dyDescent="0.2">
      <c r="A115" s="8"/>
      <c r="B115" s="14"/>
      <c r="C115" s="14"/>
      <c r="D115" s="23"/>
      <c r="E115" s="19"/>
      <c r="F115" s="22"/>
      <c r="G115" s="22"/>
      <c r="H115" s="9"/>
      <c r="I115" s="5"/>
      <c r="J115" s="9"/>
      <c r="K115" s="9"/>
      <c r="L115" s="10"/>
      <c r="N115" s="9"/>
      <c r="O115" s="9"/>
      <c r="P115" s="5"/>
      <c r="Q115" s="10"/>
      <c r="S115" s="10"/>
      <c r="T115" s="11"/>
      <c r="U115" s="13"/>
      <c r="V115" s="13"/>
      <c r="W115" s="5"/>
      <c r="X115" s="5"/>
      <c r="Y115" s="5"/>
      <c r="Z115" s="8"/>
      <c r="AA115" s="10"/>
    </row>
    <row r="116" spans="1:27" x14ac:dyDescent="0.2">
      <c r="A116" s="8"/>
      <c r="B116" s="14"/>
      <c r="C116" s="14"/>
      <c r="D116" s="23"/>
      <c r="E116" s="19"/>
      <c r="F116" s="20"/>
      <c r="G116" s="20"/>
      <c r="H116" s="9"/>
      <c r="I116" s="5"/>
      <c r="J116" s="9"/>
      <c r="K116" s="9"/>
      <c r="L116" s="10"/>
      <c r="N116" s="9"/>
      <c r="O116" s="9"/>
      <c r="P116" s="5"/>
      <c r="Q116" s="10"/>
      <c r="S116" s="10"/>
      <c r="T116" s="11"/>
      <c r="U116" s="13"/>
      <c r="V116" s="13"/>
      <c r="W116" s="5"/>
      <c r="X116" s="5"/>
      <c r="Y116" s="5"/>
      <c r="Z116" s="8"/>
      <c r="AA116" s="10"/>
    </row>
    <row r="117" spans="1:27" x14ac:dyDescent="0.2">
      <c r="A117" s="8"/>
      <c r="B117" s="14"/>
      <c r="C117" s="14"/>
      <c r="D117" s="23"/>
      <c r="E117" s="19"/>
      <c r="F117" s="20"/>
      <c r="G117" s="20"/>
      <c r="H117" s="9"/>
      <c r="I117" s="5"/>
      <c r="J117" s="9"/>
      <c r="K117" s="9"/>
      <c r="L117" s="10"/>
      <c r="N117" s="9"/>
      <c r="O117" s="9"/>
      <c r="P117" s="5"/>
      <c r="Q117" s="10"/>
      <c r="S117" s="10"/>
      <c r="T117" s="11"/>
      <c r="U117" s="13"/>
      <c r="V117" s="13"/>
      <c r="W117" s="5"/>
      <c r="X117" s="5"/>
      <c r="Y117" s="5"/>
      <c r="Z117" s="8"/>
      <c r="AA117" s="10"/>
    </row>
    <row r="118" spans="1:27" x14ac:dyDescent="0.2">
      <c r="A118" s="8"/>
      <c r="B118" s="14"/>
      <c r="C118" s="14"/>
      <c r="D118" s="23"/>
      <c r="E118" s="19"/>
      <c r="F118" s="20"/>
      <c r="G118" s="20"/>
      <c r="H118" s="9"/>
      <c r="I118" s="5"/>
      <c r="J118" s="9"/>
      <c r="K118" s="9"/>
      <c r="L118" s="10"/>
      <c r="N118" s="9"/>
      <c r="O118" s="9"/>
      <c r="P118" s="5"/>
      <c r="Q118" s="10"/>
      <c r="S118" s="10"/>
      <c r="T118" s="11"/>
      <c r="U118" s="13"/>
      <c r="V118" s="13"/>
      <c r="W118" s="5"/>
      <c r="X118" s="5"/>
      <c r="Y118" s="5"/>
      <c r="Z118" s="8"/>
      <c r="AA118" s="10"/>
    </row>
    <row r="119" spans="1:27" x14ac:dyDescent="0.2">
      <c r="A119" s="8"/>
      <c r="B119" s="14"/>
      <c r="C119" s="14"/>
      <c r="D119" s="23"/>
      <c r="E119" s="19"/>
      <c r="F119" s="20"/>
      <c r="G119" s="20"/>
      <c r="H119" s="9"/>
      <c r="I119" s="5"/>
      <c r="J119" s="9"/>
      <c r="K119" s="9"/>
      <c r="L119" s="10"/>
      <c r="N119" s="9"/>
      <c r="O119" s="9"/>
      <c r="P119" s="5"/>
      <c r="Q119" s="10"/>
      <c r="S119" s="10"/>
      <c r="T119" s="11"/>
      <c r="U119" s="13"/>
      <c r="V119" s="13"/>
      <c r="W119" s="5"/>
      <c r="X119" s="5"/>
      <c r="Y119" s="5"/>
      <c r="Z119" s="8"/>
      <c r="AA119" s="10"/>
    </row>
    <row r="120" spans="1:27" x14ac:dyDescent="0.2">
      <c r="A120" s="8"/>
      <c r="B120" s="14"/>
      <c r="C120" s="14"/>
      <c r="D120" s="23"/>
      <c r="E120" s="19"/>
      <c r="F120" s="20"/>
      <c r="G120" s="20"/>
      <c r="H120" s="9"/>
      <c r="I120" s="5"/>
      <c r="J120" s="9"/>
      <c r="K120" s="9"/>
      <c r="L120" s="10"/>
      <c r="N120" s="9"/>
      <c r="O120" s="9"/>
      <c r="P120" s="5"/>
      <c r="Q120" s="10"/>
      <c r="S120" s="10"/>
      <c r="T120" s="11"/>
      <c r="U120" s="13"/>
      <c r="V120" s="13"/>
      <c r="W120" s="5"/>
      <c r="X120" s="5"/>
      <c r="Y120" s="5"/>
      <c r="Z120" s="8"/>
      <c r="AA120" s="10"/>
    </row>
    <row r="121" spans="1:27" x14ac:dyDescent="0.2">
      <c r="A121" s="8"/>
      <c r="B121" s="14"/>
      <c r="C121" s="14"/>
      <c r="D121" s="23"/>
      <c r="E121" s="19"/>
      <c r="F121" s="20"/>
      <c r="G121" s="20"/>
      <c r="H121" s="9"/>
      <c r="I121" s="5"/>
      <c r="J121" s="9"/>
      <c r="K121" s="9"/>
      <c r="L121" s="10"/>
      <c r="N121" s="9"/>
      <c r="O121" s="9"/>
      <c r="P121" s="5"/>
      <c r="Q121" s="10"/>
      <c r="S121" s="10"/>
      <c r="T121" s="11"/>
      <c r="U121" s="13"/>
      <c r="V121" s="13"/>
      <c r="W121" s="5"/>
      <c r="X121" s="5"/>
      <c r="Y121" s="5"/>
      <c r="Z121" s="8"/>
      <c r="AA121" s="10"/>
    </row>
    <row r="122" spans="1:27" x14ac:dyDescent="0.2">
      <c r="A122" s="8"/>
      <c r="B122" s="14"/>
      <c r="C122" s="23"/>
      <c r="D122" s="23"/>
      <c r="E122" s="19"/>
      <c r="F122" s="20"/>
      <c r="G122" s="20"/>
      <c r="H122" s="9"/>
      <c r="I122" s="5"/>
      <c r="J122" s="9"/>
      <c r="K122" s="9"/>
      <c r="L122" s="10"/>
      <c r="N122" s="9"/>
      <c r="O122" s="9"/>
      <c r="P122" s="5"/>
      <c r="Q122" s="10"/>
      <c r="S122" s="10"/>
      <c r="T122" s="11"/>
      <c r="U122" s="13"/>
      <c r="V122" s="13"/>
      <c r="W122" s="5"/>
      <c r="X122" s="5"/>
      <c r="Y122" s="5"/>
      <c r="Z122" s="8"/>
      <c r="AA122" s="10"/>
    </row>
    <row r="123" spans="1:27" x14ac:dyDescent="0.2">
      <c r="A123" s="8"/>
      <c r="B123" s="14"/>
      <c r="C123" s="23"/>
      <c r="D123" s="23"/>
      <c r="E123" s="19"/>
      <c r="F123" s="20"/>
      <c r="G123" s="20"/>
      <c r="H123" s="9"/>
      <c r="I123" s="5"/>
      <c r="J123" s="9"/>
      <c r="K123" s="9"/>
      <c r="L123" s="10"/>
      <c r="N123" s="9"/>
      <c r="O123" s="9"/>
      <c r="P123" s="5"/>
      <c r="Q123" s="10"/>
      <c r="S123" s="10"/>
      <c r="T123" s="11"/>
      <c r="U123" s="13"/>
      <c r="V123" s="13"/>
      <c r="W123" s="5"/>
      <c r="X123" s="5"/>
      <c r="Y123" s="5"/>
      <c r="Z123" s="8"/>
      <c r="AA123" s="10"/>
    </row>
    <row r="124" spans="1:27" x14ac:dyDescent="0.2">
      <c r="A124" s="8"/>
      <c r="B124" s="14"/>
      <c r="C124" s="23"/>
      <c r="D124" s="23"/>
      <c r="E124" s="19"/>
      <c r="F124" s="20"/>
      <c r="G124" s="20"/>
      <c r="H124" s="9"/>
      <c r="I124" s="5"/>
      <c r="J124" s="9"/>
      <c r="K124" s="9"/>
      <c r="L124" s="10"/>
      <c r="N124" s="9"/>
      <c r="O124" s="9"/>
      <c r="P124" s="5"/>
      <c r="Q124" s="10"/>
      <c r="S124" s="10"/>
      <c r="T124" s="11"/>
      <c r="U124" s="13"/>
      <c r="V124" s="13"/>
      <c r="W124" s="5"/>
      <c r="X124" s="5"/>
      <c r="Y124" s="5"/>
      <c r="Z124" s="8"/>
      <c r="AA124" s="10"/>
    </row>
    <row r="125" spans="1:27" x14ac:dyDescent="0.2">
      <c r="A125" s="8"/>
      <c r="B125" s="14"/>
      <c r="C125" s="23"/>
      <c r="D125" s="23"/>
      <c r="E125" s="19"/>
      <c r="F125" s="20"/>
      <c r="G125" s="20"/>
      <c r="H125" s="9"/>
      <c r="I125" s="5"/>
      <c r="J125" s="9"/>
      <c r="K125" s="9"/>
      <c r="L125" s="10"/>
      <c r="N125" s="9"/>
      <c r="O125" s="9"/>
      <c r="P125" s="5"/>
      <c r="Q125" s="10"/>
      <c r="S125" s="10"/>
      <c r="T125" s="11"/>
      <c r="U125" s="13"/>
      <c r="V125" s="13"/>
      <c r="W125" s="5"/>
      <c r="X125" s="5"/>
      <c r="Y125" s="5"/>
      <c r="Z125" s="8"/>
      <c r="AA125" s="10"/>
    </row>
    <row r="126" spans="1:27" x14ac:dyDescent="0.2">
      <c r="A126" s="8"/>
      <c r="B126" s="14"/>
      <c r="C126" s="23"/>
      <c r="D126" s="23"/>
      <c r="E126" s="19"/>
      <c r="F126" s="20"/>
      <c r="G126" s="20"/>
      <c r="H126" s="9"/>
      <c r="I126" s="5"/>
      <c r="J126" s="9"/>
      <c r="K126" s="9"/>
      <c r="L126" s="10"/>
      <c r="N126" s="9"/>
      <c r="O126" s="9"/>
      <c r="P126" s="5"/>
      <c r="Q126" s="10"/>
      <c r="S126" s="10"/>
      <c r="T126" s="11"/>
      <c r="U126" s="13"/>
      <c r="V126" s="13"/>
      <c r="W126" s="5"/>
      <c r="X126" s="5"/>
      <c r="Y126" s="5"/>
      <c r="Z126" s="8"/>
      <c r="AA126" s="10"/>
    </row>
    <row r="127" spans="1:27" x14ac:dyDescent="0.2">
      <c r="A127" s="8"/>
      <c r="B127" s="14"/>
      <c r="C127" s="14"/>
      <c r="D127" s="23"/>
      <c r="E127" s="19"/>
      <c r="F127" s="20"/>
      <c r="G127" s="20"/>
      <c r="H127" s="9"/>
      <c r="I127" s="5"/>
      <c r="J127" s="9"/>
      <c r="K127" s="9"/>
      <c r="L127" s="10"/>
      <c r="N127" s="9"/>
      <c r="O127" s="9"/>
      <c r="P127" s="5"/>
      <c r="Q127" s="10"/>
      <c r="S127" s="10"/>
      <c r="T127" s="11"/>
      <c r="U127" s="13"/>
      <c r="V127" s="13"/>
      <c r="W127" s="5"/>
      <c r="X127" s="5"/>
      <c r="Y127" s="5"/>
      <c r="Z127" s="8"/>
      <c r="AA127" s="10"/>
    </row>
    <row r="128" spans="1:27" x14ac:dyDescent="0.2">
      <c r="A128" s="8"/>
      <c r="B128" s="14"/>
      <c r="C128" s="14"/>
      <c r="D128" s="23"/>
      <c r="E128" s="19"/>
      <c r="F128" s="20"/>
      <c r="G128" s="20"/>
      <c r="H128" s="9"/>
      <c r="I128" s="5"/>
      <c r="J128" s="9"/>
      <c r="K128" s="9"/>
      <c r="L128" s="10"/>
      <c r="N128" s="9"/>
      <c r="O128" s="9"/>
      <c r="P128" s="5"/>
      <c r="Q128" s="10"/>
      <c r="S128" s="10"/>
      <c r="T128" s="11"/>
      <c r="U128" s="13"/>
      <c r="V128" s="13"/>
      <c r="W128" s="5"/>
      <c r="X128" s="5"/>
      <c r="Y128" s="5"/>
      <c r="Z128" s="8"/>
      <c r="AA128" s="10"/>
    </row>
    <row r="129" spans="1:27" x14ac:dyDescent="0.2">
      <c r="A129" s="8"/>
      <c r="B129" s="14"/>
      <c r="C129" s="14"/>
      <c r="D129" s="23"/>
      <c r="E129" s="19"/>
      <c r="F129" s="20"/>
      <c r="G129" s="20"/>
      <c r="H129" s="9"/>
      <c r="I129" s="5"/>
      <c r="J129" s="9"/>
      <c r="K129" s="9"/>
      <c r="L129" s="10"/>
      <c r="N129" s="9"/>
      <c r="O129" s="9"/>
      <c r="P129" s="5"/>
      <c r="Q129" s="10"/>
      <c r="S129" s="10"/>
      <c r="T129" s="11"/>
      <c r="U129" s="13"/>
      <c r="V129" s="13"/>
      <c r="W129" s="5"/>
      <c r="X129" s="5"/>
      <c r="Y129" s="5"/>
      <c r="Z129" s="8"/>
      <c r="AA129" s="10"/>
    </row>
    <row r="130" spans="1:27" x14ac:dyDescent="0.2">
      <c r="A130" s="8"/>
      <c r="B130" s="14"/>
      <c r="C130" s="14"/>
      <c r="D130" s="23"/>
      <c r="E130" s="19"/>
      <c r="F130" s="22"/>
      <c r="G130" s="22"/>
      <c r="H130" s="9"/>
      <c r="I130" s="5"/>
      <c r="J130" s="9"/>
      <c r="K130" s="9"/>
      <c r="L130" s="10"/>
      <c r="N130" s="9"/>
      <c r="O130" s="9"/>
      <c r="P130" s="5"/>
      <c r="Q130" s="10"/>
      <c r="S130" s="10"/>
      <c r="T130" s="11"/>
      <c r="U130" s="13"/>
      <c r="V130" s="13"/>
      <c r="W130" s="5"/>
      <c r="X130" s="5"/>
      <c r="Y130" s="5"/>
      <c r="Z130" s="8"/>
      <c r="AA130" s="10"/>
    </row>
    <row r="131" spans="1:27" x14ac:dyDescent="0.2">
      <c r="A131" s="8"/>
      <c r="B131" s="14"/>
      <c r="C131" s="14"/>
      <c r="D131" s="23"/>
      <c r="E131" s="19"/>
      <c r="F131" s="22"/>
      <c r="G131" s="22"/>
      <c r="H131" s="9"/>
      <c r="I131" s="5"/>
      <c r="J131" s="9"/>
      <c r="K131" s="9"/>
      <c r="L131" s="10"/>
      <c r="N131" s="9"/>
      <c r="O131" s="9"/>
      <c r="P131" s="5"/>
      <c r="Q131" s="10"/>
      <c r="S131" s="10"/>
      <c r="T131" s="11"/>
      <c r="U131" s="13"/>
      <c r="V131" s="13"/>
      <c r="W131" s="5"/>
      <c r="X131" s="5"/>
      <c r="Y131" s="5"/>
      <c r="Z131" s="8"/>
      <c r="AA131" s="10"/>
    </row>
    <row r="132" spans="1:27" x14ac:dyDescent="0.2">
      <c r="A132" s="8"/>
      <c r="B132" s="14"/>
      <c r="C132" s="14"/>
      <c r="D132" s="23"/>
      <c r="E132" s="19"/>
      <c r="F132" s="20"/>
      <c r="G132" s="20"/>
      <c r="H132" s="9"/>
      <c r="I132" s="5"/>
      <c r="J132" s="9"/>
      <c r="K132" s="9"/>
      <c r="L132" s="10"/>
      <c r="N132" s="9"/>
      <c r="O132" s="9"/>
      <c r="P132" s="5"/>
      <c r="Q132" s="10"/>
      <c r="S132" s="10"/>
      <c r="T132" s="11"/>
      <c r="U132" s="13"/>
      <c r="V132" s="13"/>
      <c r="W132" s="5"/>
      <c r="X132" s="5"/>
      <c r="Y132" s="5"/>
      <c r="Z132" s="8"/>
      <c r="AA132" s="10"/>
    </row>
    <row r="133" spans="1:27" x14ac:dyDescent="0.2">
      <c r="A133" s="8"/>
      <c r="B133" s="14"/>
      <c r="C133" s="14"/>
      <c r="D133" s="23"/>
      <c r="E133" s="19"/>
      <c r="F133" s="20"/>
      <c r="G133" s="20"/>
      <c r="H133" s="9"/>
      <c r="I133" s="5"/>
      <c r="J133" s="9"/>
      <c r="K133" s="9"/>
      <c r="L133" s="10"/>
      <c r="N133" s="9"/>
      <c r="O133" s="9"/>
      <c r="P133" s="5"/>
      <c r="Q133" s="10"/>
      <c r="S133" s="10"/>
      <c r="T133" s="11"/>
      <c r="U133" s="13"/>
      <c r="V133" s="13"/>
      <c r="W133" s="5"/>
      <c r="X133" s="5"/>
      <c r="Y133" s="5"/>
      <c r="Z133" s="8"/>
      <c r="AA133" s="10"/>
    </row>
    <row r="134" spans="1:27" x14ac:dyDescent="0.2">
      <c r="A134" s="8"/>
      <c r="B134" s="14"/>
      <c r="C134" s="14"/>
      <c r="D134" s="23"/>
      <c r="E134" s="19"/>
      <c r="F134" s="20"/>
      <c r="G134" s="20"/>
      <c r="H134" s="9"/>
      <c r="I134" s="5"/>
      <c r="J134" s="9"/>
      <c r="K134" s="9"/>
      <c r="L134" s="10"/>
      <c r="N134" s="9"/>
      <c r="O134" s="9"/>
      <c r="P134" s="5"/>
      <c r="Q134" s="10"/>
      <c r="S134" s="10"/>
      <c r="T134" s="11"/>
      <c r="U134" s="13"/>
      <c r="V134" s="13"/>
      <c r="W134" s="5"/>
      <c r="X134" s="5"/>
      <c r="Y134" s="5"/>
      <c r="Z134" s="8"/>
      <c r="AA134" s="10"/>
    </row>
    <row r="135" spans="1:27" x14ac:dyDescent="0.2">
      <c r="A135" s="8"/>
      <c r="B135" s="14"/>
      <c r="C135" s="14"/>
      <c r="D135" s="23"/>
      <c r="E135" s="19"/>
      <c r="F135" s="20"/>
      <c r="G135" s="20"/>
      <c r="H135" s="9"/>
      <c r="I135" s="5"/>
      <c r="J135" s="9"/>
      <c r="K135" s="9"/>
      <c r="L135" s="10"/>
      <c r="N135" s="9"/>
      <c r="O135" s="9"/>
      <c r="P135" s="5"/>
      <c r="Q135" s="10"/>
      <c r="S135" s="10"/>
      <c r="T135" s="11"/>
      <c r="U135" s="13"/>
      <c r="V135" s="13"/>
      <c r="W135" s="5"/>
      <c r="X135" s="5"/>
      <c r="Y135" s="5"/>
      <c r="Z135" s="8"/>
      <c r="AA135" s="10"/>
    </row>
    <row r="136" spans="1:27" x14ac:dyDescent="0.2">
      <c r="A136" s="8"/>
      <c r="B136" s="14"/>
      <c r="C136" s="14"/>
      <c r="D136" s="23"/>
      <c r="E136" s="19"/>
      <c r="F136" s="20"/>
      <c r="G136" s="20"/>
      <c r="H136" s="9"/>
      <c r="I136" s="5"/>
      <c r="J136" s="9"/>
      <c r="K136" s="9"/>
      <c r="L136" s="10"/>
      <c r="N136" s="9"/>
      <c r="O136" s="9"/>
      <c r="P136" s="5"/>
      <c r="Q136" s="10"/>
      <c r="S136" s="10"/>
      <c r="T136" s="11"/>
      <c r="U136" s="13"/>
      <c r="V136" s="13"/>
      <c r="W136" s="5"/>
      <c r="X136" s="5"/>
      <c r="Y136" s="5"/>
      <c r="Z136" s="8"/>
      <c r="AA136" s="10"/>
    </row>
    <row r="137" spans="1:27" x14ac:dyDescent="0.2">
      <c r="A137" s="8"/>
      <c r="B137" s="14"/>
      <c r="C137" s="14"/>
      <c r="D137" s="23"/>
      <c r="E137" s="19"/>
      <c r="F137" s="20"/>
      <c r="G137" s="20"/>
      <c r="H137" s="9"/>
      <c r="I137" s="5"/>
      <c r="J137" s="9"/>
      <c r="K137" s="9"/>
      <c r="L137" s="10"/>
      <c r="N137" s="9"/>
      <c r="O137" s="9"/>
      <c r="P137" s="5"/>
      <c r="Q137" s="10"/>
      <c r="S137" s="10"/>
      <c r="T137" s="11"/>
      <c r="U137" s="13"/>
      <c r="V137" s="13"/>
      <c r="W137" s="5"/>
      <c r="X137" s="5"/>
      <c r="Y137" s="5"/>
      <c r="Z137" s="8"/>
      <c r="AA137" s="10"/>
    </row>
    <row r="138" spans="1:27" x14ac:dyDescent="0.2">
      <c r="A138" s="8"/>
      <c r="B138" s="14"/>
      <c r="C138" s="14"/>
      <c r="D138" s="23"/>
      <c r="E138" s="19"/>
      <c r="F138" s="20"/>
      <c r="G138" s="20"/>
      <c r="H138" s="9"/>
      <c r="I138" s="5"/>
      <c r="J138" s="9"/>
      <c r="K138" s="9"/>
      <c r="L138" s="10"/>
      <c r="N138" s="9"/>
      <c r="O138" s="9"/>
      <c r="P138" s="5"/>
      <c r="Q138" s="10"/>
      <c r="S138" s="10"/>
      <c r="T138" s="11"/>
      <c r="U138" s="13"/>
      <c r="V138" s="13"/>
      <c r="W138" s="5"/>
      <c r="X138" s="5"/>
      <c r="Y138" s="5"/>
      <c r="Z138" s="8"/>
      <c r="AA138" s="10"/>
    </row>
    <row r="139" spans="1:27" x14ac:dyDescent="0.2">
      <c r="A139" s="8"/>
      <c r="B139" s="14"/>
      <c r="C139" s="14"/>
      <c r="D139" s="23"/>
      <c r="E139" s="19"/>
      <c r="F139" s="20"/>
      <c r="G139" s="20"/>
      <c r="H139" s="9"/>
      <c r="I139" s="5"/>
      <c r="J139" s="9"/>
      <c r="K139" s="9"/>
      <c r="L139" s="10"/>
      <c r="N139" s="9"/>
      <c r="O139" s="9"/>
      <c r="P139" s="5"/>
      <c r="Q139" s="10"/>
      <c r="S139" s="10"/>
      <c r="T139" s="11"/>
      <c r="U139" s="13"/>
      <c r="V139" s="13"/>
      <c r="W139" s="5"/>
      <c r="X139" s="5"/>
      <c r="Y139" s="5"/>
      <c r="Z139" s="8"/>
      <c r="AA139" s="10"/>
    </row>
    <row r="140" spans="1:27" x14ac:dyDescent="0.2">
      <c r="A140" s="8"/>
      <c r="B140" s="14"/>
      <c r="C140" s="14"/>
      <c r="D140" s="23"/>
      <c r="E140" s="19"/>
      <c r="F140" s="20"/>
      <c r="G140" s="20"/>
      <c r="H140" s="9"/>
      <c r="I140" s="5"/>
      <c r="J140" s="9"/>
      <c r="K140" s="9"/>
      <c r="L140" s="10"/>
      <c r="N140" s="9"/>
      <c r="O140" s="9"/>
      <c r="P140" s="5"/>
      <c r="Q140" s="10"/>
      <c r="S140" s="10"/>
      <c r="T140" s="11"/>
      <c r="U140" s="13"/>
      <c r="V140" s="13"/>
      <c r="W140" s="5"/>
      <c r="X140" s="5"/>
      <c r="Y140" s="5"/>
      <c r="Z140" s="8"/>
      <c r="AA140" s="10"/>
    </row>
    <row r="141" spans="1:27" x14ac:dyDescent="0.2">
      <c r="A141" s="8"/>
      <c r="B141" s="14"/>
      <c r="C141" s="14"/>
      <c r="D141" s="23"/>
      <c r="E141" s="19"/>
      <c r="F141" s="20"/>
      <c r="G141" s="20"/>
      <c r="H141" s="9"/>
      <c r="I141" s="5"/>
      <c r="J141" s="9"/>
      <c r="K141" s="9"/>
      <c r="L141" s="10"/>
      <c r="N141" s="9"/>
      <c r="O141" s="9"/>
      <c r="P141" s="5"/>
      <c r="Q141" s="10"/>
      <c r="S141" s="10"/>
      <c r="T141" s="11"/>
      <c r="U141" s="13"/>
      <c r="V141" s="13"/>
      <c r="W141" s="5"/>
      <c r="X141" s="5"/>
      <c r="Y141" s="5"/>
      <c r="Z141" s="8"/>
      <c r="AA141" s="10"/>
    </row>
    <row r="142" spans="1:27" x14ac:dyDescent="0.2">
      <c r="A142" s="8"/>
      <c r="B142" s="14"/>
      <c r="C142" s="14"/>
      <c r="D142" s="23"/>
      <c r="E142" s="19"/>
      <c r="F142" s="20"/>
      <c r="G142" s="20"/>
      <c r="H142" s="9"/>
      <c r="I142" s="5"/>
      <c r="J142" s="9"/>
      <c r="K142" s="9"/>
      <c r="L142" s="10"/>
      <c r="N142" s="9"/>
      <c r="O142" s="9"/>
      <c r="P142" s="5"/>
      <c r="Q142" s="10"/>
      <c r="S142" s="10"/>
      <c r="T142" s="11"/>
      <c r="U142" s="13"/>
      <c r="V142" s="13"/>
      <c r="W142" s="5"/>
      <c r="X142" s="5"/>
      <c r="Y142" s="5"/>
      <c r="Z142" s="8"/>
      <c r="AA142" s="10"/>
    </row>
    <row r="143" spans="1:27" x14ac:dyDescent="0.2">
      <c r="A143" s="8"/>
      <c r="B143" s="14"/>
      <c r="C143" s="14"/>
      <c r="D143" s="23"/>
      <c r="E143" s="19"/>
      <c r="F143" s="20"/>
      <c r="G143" s="20"/>
      <c r="H143" s="9"/>
      <c r="I143" s="5"/>
      <c r="J143" s="9"/>
      <c r="K143" s="9"/>
      <c r="L143" s="10"/>
      <c r="N143" s="9"/>
      <c r="O143" s="9"/>
      <c r="P143" s="5"/>
      <c r="Q143" s="10"/>
      <c r="S143" s="10"/>
      <c r="T143" s="11"/>
      <c r="U143" s="13"/>
      <c r="V143" s="13"/>
      <c r="W143" s="5"/>
      <c r="X143" s="5"/>
      <c r="Y143" s="5"/>
      <c r="Z143" s="8"/>
      <c r="AA143" s="10"/>
    </row>
    <row r="144" spans="1:27" x14ac:dyDescent="0.2">
      <c r="A144" s="8"/>
      <c r="B144" s="14"/>
      <c r="C144" s="14"/>
      <c r="D144" s="23"/>
      <c r="E144" s="19"/>
      <c r="F144" s="22"/>
      <c r="G144" s="22"/>
      <c r="H144" s="9"/>
      <c r="I144" s="5"/>
      <c r="J144" s="9"/>
      <c r="K144" s="9"/>
      <c r="L144" s="10"/>
      <c r="N144" s="9"/>
      <c r="O144" s="9"/>
      <c r="P144" s="5"/>
      <c r="Q144" s="10"/>
      <c r="S144" s="10"/>
      <c r="T144" s="11"/>
      <c r="U144" s="13"/>
      <c r="V144" s="13"/>
      <c r="W144" s="5"/>
      <c r="X144" s="5"/>
      <c r="Y144" s="5"/>
      <c r="Z144" s="8"/>
      <c r="AA144" s="10"/>
    </row>
    <row r="145" spans="1:27" x14ac:dyDescent="0.2">
      <c r="A145" s="8"/>
      <c r="B145" s="14"/>
      <c r="C145" s="14"/>
      <c r="D145" s="23"/>
      <c r="E145" s="19"/>
      <c r="F145" s="22"/>
      <c r="G145" s="22"/>
      <c r="H145" s="9"/>
      <c r="I145" s="5"/>
      <c r="J145" s="9"/>
      <c r="K145" s="9"/>
      <c r="L145" s="10"/>
      <c r="N145" s="9"/>
      <c r="O145" s="9"/>
      <c r="P145" s="5"/>
      <c r="Q145" s="10"/>
      <c r="S145" s="10"/>
      <c r="T145" s="11"/>
      <c r="U145" s="13"/>
      <c r="V145" s="13"/>
      <c r="W145" s="5"/>
      <c r="X145" s="5"/>
      <c r="Y145" s="5"/>
      <c r="Z145" s="8"/>
      <c r="AA145" s="10"/>
    </row>
    <row r="146" spans="1:27" x14ac:dyDescent="0.2">
      <c r="A146" s="8"/>
      <c r="B146" s="14"/>
      <c r="C146" s="14"/>
      <c r="D146" s="23"/>
      <c r="E146" s="19"/>
      <c r="F146" s="20"/>
      <c r="G146" s="20"/>
      <c r="H146" s="9"/>
      <c r="I146" s="5"/>
      <c r="J146" s="9"/>
      <c r="K146" s="9"/>
      <c r="L146" s="10"/>
      <c r="N146" s="9"/>
      <c r="O146" s="9"/>
      <c r="P146" s="5"/>
      <c r="Q146" s="10"/>
      <c r="S146" s="10"/>
      <c r="T146" s="11"/>
      <c r="U146" s="12"/>
      <c r="V146" s="12"/>
      <c r="W146" s="5"/>
      <c r="X146" s="5"/>
      <c r="Y146" s="5"/>
      <c r="Z146" s="8"/>
      <c r="AA146" s="10"/>
    </row>
    <row r="147" spans="1:27" x14ac:dyDescent="0.2">
      <c r="A147" s="8"/>
      <c r="B147" s="14"/>
      <c r="C147" s="14"/>
      <c r="D147" s="23"/>
      <c r="E147" s="19"/>
      <c r="F147" s="20"/>
      <c r="G147" s="20"/>
      <c r="H147" s="9"/>
      <c r="I147" s="5"/>
      <c r="J147" s="9"/>
      <c r="K147" s="9"/>
      <c r="L147" s="10"/>
    </row>
    <row r="148" spans="1:27" x14ac:dyDescent="0.2">
      <c r="A148" s="8"/>
      <c r="B148" s="14"/>
      <c r="C148" s="14"/>
      <c r="D148" s="23"/>
      <c r="E148" s="19"/>
      <c r="F148" s="20"/>
      <c r="G148" s="20"/>
      <c r="H148" s="9"/>
      <c r="I148" s="5"/>
      <c r="J148" s="9"/>
      <c r="K148" s="9"/>
      <c r="L148" s="10"/>
    </row>
    <row r="149" spans="1:27" x14ac:dyDescent="0.2">
      <c r="A149" s="8"/>
      <c r="B149" s="14"/>
      <c r="C149" s="14"/>
      <c r="D149" s="23"/>
      <c r="E149" s="19"/>
      <c r="F149" s="20"/>
      <c r="G149" s="20"/>
      <c r="H149" s="9"/>
      <c r="I149" s="5"/>
      <c r="J149" s="9"/>
      <c r="K149" s="9"/>
      <c r="L149" s="10"/>
    </row>
    <row r="150" spans="1:27" x14ac:dyDescent="0.2">
      <c r="A150" s="8"/>
      <c r="B150" s="14"/>
      <c r="C150" s="14"/>
      <c r="D150" s="23"/>
      <c r="E150" s="19"/>
      <c r="F150" s="20"/>
      <c r="G150" s="20"/>
      <c r="H150" s="9"/>
      <c r="I150" s="5"/>
      <c r="J150" s="9"/>
      <c r="K150" s="9"/>
      <c r="L150" s="10"/>
    </row>
    <row r="151" spans="1:27" x14ac:dyDescent="0.2">
      <c r="A151" s="8"/>
      <c r="B151" s="14"/>
      <c r="C151" s="14"/>
      <c r="D151" s="23"/>
      <c r="E151" s="19"/>
      <c r="F151" s="20"/>
      <c r="G151" s="20"/>
      <c r="H151" s="9"/>
      <c r="I151" s="5"/>
      <c r="J151" s="9"/>
      <c r="K151" s="9"/>
      <c r="L151" s="10"/>
    </row>
    <row r="152" spans="1:27" x14ac:dyDescent="0.2">
      <c r="A152" s="8"/>
      <c r="B152" s="14"/>
      <c r="C152" s="23"/>
      <c r="D152" s="23"/>
      <c r="E152" s="19"/>
      <c r="F152" s="20"/>
      <c r="G152" s="20"/>
      <c r="H152" s="9"/>
      <c r="I152" s="5"/>
      <c r="J152" s="9"/>
      <c r="K152" s="9"/>
      <c r="L152" s="10"/>
    </row>
    <row r="153" spans="1:27" x14ac:dyDescent="0.2">
      <c r="A153" s="8"/>
      <c r="B153" s="14"/>
      <c r="C153" s="23"/>
      <c r="D153" s="23"/>
      <c r="E153" s="19"/>
      <c r="F153" s="20"/>
      <c r="G153" s="20"/>
      <c r="H153" s="9"/>
      <c r="I153" s="5"/>
      <c r="J153" s="9"/>
      <c r="K153" s="9"/>
      <c r="L153" s="10"/>
    </row>
    <row r="154" spans="1:27" x14ac:dyDescent="0.2">
      <c r="A154" s="8"/>
      <c r="B154" s="14"/>
      <c r="C154" s="23"/>
      <c r="D154" s="23"/>
      <c r="E154" s="19"/>
      <c r="F154" s="20"/>
      <c r="G154" s="20"/>
      <c r="H154" s="9"/>
      <c r="I154" s="5"/>
      <c r="J154" s="9"/>
      <c r="K154" s="9"/>
      <c r="L154" s="10"/>
    </row>
    <row r="155" spans="1:27" x14ac:dyDescent="0.2">
      <c r="A155" s="8"/>
      <c r="B155" s="14"/>
      <c r="C155" s="23"/>
      <c r="D155" s="23"/>
      <c r="E155" s="19"/>
      <c r="F155" s="20"/>
      <c r="G155" s="20"/>
      <c r="H155" s="9"/>
      <c r="I155" s="5"/>
      <c r="J155" s="9"/>
      <c r="K155" s="9"/>
      <c r="L155" s="10"/>
    </row>
    <row r="156" spans="1:27" x14ac:dyDescent="0.2">
      <c r="A156" s="8"/>
      <c r="B156" s="14"/>
      <c r="C156" s="23"/>
      <c r="D156" s="23"/>
      <c r="E156" s="19"/>
      <c r="F156" s="20"/>
      <c r="G156" s="20"/>
      <c r="H156" s="9"/>
      <c r="I156" s="5"/>
      <c r="J156" s="9"/>
      <c r="K156" s="9"/>
      <c r="L156" s="10"/>
    </row>
    <row r="157" spans="1:27" x14ac:dyDescent="0.2">
      <c r="A157" s="8"/>
      <c r="B157" s="14"/>
      <c r="C157" s="14"/>
      <c r="D157" s="23"/>
      <c r="E157" s="19"/>
      <c r="F157" s="20"/>
      <c r="G157" s="20"/>
      <c r="H157" s="9"/>
      <c r="I157" s="5"/>
      <c r="J157" s="9"/>
      <c r="K157" s="9"/>
      <c r="L157" s="10"/>
    </row>
    <row r="158" spans="1:27" x14ac:dyDescent="0.2">
      <c r="A158" s="8"/>
      <c r="B158" s="14"/>
      <c r="C158" s="14"/>
      <c r="D158" s="23"/>
      <c r="E158" s="19"/>
      <c r="F158" s="20"/>
      <c r="G158" s="20"/>
      <c r="H158" s="9"/>
      <c r="I158" s="5"/>
      <c r="J158" s="9"/>
      <c r="K158" s="9"/>
      <c r="L158" s="10"/>
    </row>
    <row r="159" spans="1:27" x14ac:dyDescent="0.2">
      <c r="A159" s="8"/>
      <c r="B159" s="14"/>
      <c r="C159" s="14"/>
      <c r="D159" s="23"/>
      <c r="E159" s="19"/>
      <c r="F159" s="20"/>
      <c r="G159" s="20"/>
      <c r="H159" s="9"/>
      <c r="I159" s="5"/>
      <c r="J159" s="9"/>
      <c r="K159" s="9"/>
      <c r="L159" s="10"/>
    </row>
    <row r="160" spans="1:27" x14ac:dyDescent="0.2">
      <c r="A160" s="8"/>
      <c r="B160" s="14"/>
      <c r="C160" s="14"/>
      <c r="D160" s="23"/>
      <c r="E160" s="19"/>
      <c r="F160" s="22"/>
      <c r="G160" s="22"/>
      <c r="H160" s="9"/>
      <c r="I160" s="5"/>
      <c r="J160" s="9"/>
      <c r="K160" s="9"/>
      <c r="L160" s="10"/>
    </row>
    <row r="161" spans="1:12" x14ac:dyDescent="0.2">
      <c r="A161" s="8"/>
      <c r="B161" s="14"/>
      <c r="C161" s="14"/>
      <c r="D161" s="23"/>
      <c r="E161" s="19"/>
      <c r="F161" s="22"/>
      <c r="G161" s="22"/>
      <c r="H161" s="9"/>
      <c r="I161" s="5"/>
      <c r="J161" s="9"/>
      <c r="K161" s="9"/>
      <c r="L161" s="10"/>
    </row>
    <row r="162" spans="1:12" x14ac:dyDescent="0.2">
      <c r="A162" s="8"/>
      <c r="B162" s="14"/>
      <c r="C162" s="14"/>
      <c r="D162" s="23"/>
      <c r="E162" s="19"/>
      <c r="F162" s="20"/>
      <c r="G162" s="20"/>
      <c r="H162" s="9"/>
      <c r="I162" s="5"/>
      <c r="J162" s="9"/>
      <c r="K162" s="9"/>
      <c r="L162" s="10"/>
    </row>
    <row r="163" spans="1:12" x14ac:dyDescent="0.2">
      <c r="A163" s="8"/>
      <c r="B163" s="14"/>
      <c r="C163" s="14"/>
      <c r="D163" s="23"/>
      <c r="E163" s="19"/>
      <c r="F163" s="20"/>
      <c r="G163" s="20"/>
      <c r="H163" s="9"/>
      <c r="I163" s="5"/>
      <c r="J163" s="9"/>
      <c r="K163" s="9"/>
      <c r="L163" s="10"/>
    </row>
    <row r="164" spans="1:12" x14ac:dyDescent="0.2">
      <c r="A164" s="8"/>
      <c r="B164" s="14"/>
      <c r="C164" s="14"/>
      <c r="D164" s="23"/>
      <c r="E164" s="19"/>
      <c r="F164" s="20"/>
      <c r="G164" s="20"/>
      <c r="H164" s="9"/>
      <c r="I164" s="5"/>
      <c r="J164" s="9"/>
      <c r="K164" s="9"/>
      <c r="L164" s="10"/>
    </row>
    <row r="165" spans="1:12" x14ac:dyDescent="0.2">
      <c r="A165" s="8"/>
      <c r="B165" s="14"/>
      <c r="C165" s="14"/>
      <c r="D165" s="23"/>
      <c r="E165" s="19"/>
      <c r="F165" s="20"/>
      <c r="G165" s="20"/>
      <c r="H165" s="9"/>
      <c r="I165" s="5"/>
      <c r="J165" s="9"/>
      <c r="K165" s="9"/>
      <c r="L165" s="10"/>
    </row>
    <row r="166" spans="1:12" x14ac:dyDescent="0.2">
      <c r="A166" s="8"/>
      <c r="B166" s="14"/>
      <c r="C166" s="14"/>
      <c r="D166" s="23"/>
      <c r="E166" s="19"/>
      <c r="F166" s="20"/>
      <c r="G166" s="20"/>
      <c r="H166" s="9"/>
      <c r="I166" s="5"/>
      <c r="J166" s="9"/>
      <c r="K166" s="9"/>
      <c r="L166" s="10"/>
    </row>
    <row r="167" spans="1:12" x14ac:dyDescent="0.2">
      <c r="A167" s="8"/>
      <c r="B167" s="14"/>
      <c r="C167" s="14"/>
      <c r="D167" s="23"/>
      <c r="E167" s="19"/>
      <c r="F167" s="20"/>
      <c r="G167" s="20"/>
      <c r="H167" s="9"/>
      <c r="I167" s="5"/>
      <c r="J167" s="9"/>
      <c r="K167" s="9"/>
      <c r="L167" s="10"/>
    </row>
    <row r="168" spans="1:12" x14ac:dyDescent="0.2">
      <c r="A168" s="8"/>
      <c r="B168" s="14"/>
      <c r="C168" s="14"/>
      <c r="D168" s="23"/>
      <c r="E168" s="19"/>
      <c r="F168" s="20"/>
      <c r="G168" s="20"/>
      <c r="H168" s="9"/>
      <c r="I168" s="5"/>
      <c r="J168" s="9"/>
      <c r="K168" s="9"/>
      <c r="L168" s="10"/>
    </row>
    <row r="169" spans="1:12" x14ac:dyDescent="0.2">
      <c r="A169" s="8"/>
      <c r="B169" s="14"/>
      <c r="C169" s="14"/>
      <c r="D169" s="23"/>
      <c r="E169" s="19"/>
      <c r="F169" s="20"/>
      <c r="G169" s="20"/>
      <c r="H169" s="9"/>
      <c r="I169" s="5"/>
      <c r="J169" s="9"/>
      <c r="K169" s="9"/>
      <c r="L169" s="10"/>
    </row>
    <row r="170" spans="1:12" x14ac:dyDescent="0.2">
      <c r="A170" s="8"/>
      <c r="B170" s="14"/>
      <c r="C170" s="14"/>
      <c r="D170" s="23"/>
      <c r="E170" s="19"/>
      <c r="F170" s="20"/>
      <c r="G170" s="20"/>
      <c r="H170" s="9"/>
      <c r="I170" s="5"/>
      <c r="J170" s="9"/>
      <c r="K170" s="9"/>
      <c r="L170" s="10"/>
    </row>
    <row r="171" spans="1:12" x14ac:dyDescent="0.2">
      <c r="A171" s="8"/>
      <c r="B171" s="14"/>
      <c r="C171" s="14"/>
      <c r="D171" s="23"/>
      <c r="E171" s="19"/>
      <c r="F171" s="20"/>
      <c r="G171" s="20"/>
      <c r="H171" s="9"/>
      <c r="I171" s="5"/>
      <c r="J171" s="9"/>
      <c r="K171" s="9"/>
      <c r="L171" s="10"/>
    </row>
    <row r="172" spans="1:12" x14ac:dyDescent="0.2">
      <c r="A172" s="8"/>
      <c r="B172" s="14"/>
      <c r="C172" s="14"/>
      <c r="D172" s="23"/>
      <c r="E172" s="19"/>
      <c r="F172" s="20"/>
      <c r="G172" s="20"/>
      <c r="H172" s="9"/>
      <c r="I172" s="5"/>
      <c r="J172" s="9"/>
      <c r="K172" s="9"/>
      <c r="L172" s="10"/>
    </row>
    <row r="173" spans="1:12" x14ac:dyDescent="0.2">
      <c r="A173" s="8"/>
      <c r="B173" s="14"/>
      <c r="C173" s="14"/>
      <c r="D173" s="23"/>
      <c r="E173" s="19"/>
      <c r="F173" s="20"/>
      <c r="G173" s="20"/>
      <c r="H173" s="9"/>
      <c r="I173" s="5"/>
      <c r="J173" s="9"/>
      <c r="K173" s="9"/>
      <c r="L173" s="10"/>
    </row>
    <row r="174" spans="1:12" x14ac:dyDescent="0.2">
      <c r="A174" s="8"/>
      <c r="B174" s="14"/>
      <c r="C174" s="14"/>
      <c r="D174" s="23"/>
      <c r="E174" s="19"/>
      <c r="F174" s="22"/>
      <c r="G174" s="22"/>
      <c r="H174" s="9"/>
      <c r="I174" s="5"/>
      <c r="J174" s="9"/>
      <c r="K174" s="9"/>
      <c r="L174" s="10"/>
    </row>
    <row r="175" spans="1:12" x14ac:dyDescent="0.2">
      <c r="A175" s="8"/>
      <c r="B175" s="14"/>
      <c r="C175" s="14"/>
      <c r="D175" s="23"/>
      <c r="E175" s="19"/>
      <c r="F175" s="22"/>
      <c r="G175" s="22"/>
      <c r="H175" s="9"/>
      <c r="I175" s="5"/>
      <c r="J175" s="9"/>
      <c r="K175" s="9"/>
      <c r="L175" s="10"/>
    </row>
    <row r="176" spans="1:12" x14ac:dyDescent="0.2">
      <c r="A176" s="8"/>
      <c r="B176" s="14"/>
      <c r="C176" s="14"/>
      <c r="D176" s="23"/>
      <c r="E176" s="19"/>
      <c r="F176" s="20"/>
      <c r="G176" s="20"/>
      <c r="H176" s="9"/>
      <c r="I176" s="5"/>
      <c r="J176" s="9"/>
      <c r="K176" s="9"/>
      <c r="L176" s="10"/>
    </row>
  </sheetData>
  <phoneticPr fontId="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2" r:id="rId4" name="Button 10">
              <controlPr defaultSize="0" print="0" autoFill="0" autoPict="0" macro="[0]!GenerateGrid">
                <anchor moveWithCells="1" sizeWithCells="1">
                  <from>
                    <xdr:col>10</xdr:col>
                    <xdr:colOff>238125</xdr:colOff>
                    <xdr:row>14</xdr:row>
                    <xdr:rowOff>104775</xdr:rowOff>
                  </from>
                  <to>
                    <xdr:col>11</xdr:col>
                    <xdr:colOff>361950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5" name="Button 13">
              <controlPr defaultSize="0" print="0" autoFill="0" autoPict="0" macro="[0]!Exner">
                <anchor moveWithCells="1" sizeWithCells="1">
                  <from>
                    <xdr:col>10</xdr:col>
                    <xdr:colOff>247650</xdr:colOff>
                    <xdr:row>12</xdr:row>
                    <xdr:rowOff>104775</xdr:rowOff>
                  </from>
                  <to>
                    <xdr:col>11</xdr:col>
                    <xdr:colOff>371475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print="0" autoFill="0" autoPict="0" macro="[0]!Default_Case">
                <anchor moveWithCells="1" sizeWithCells="1">
                  <from>
                    <xdr:col>10</xdr:col>
                    <xdr:colOff>304800</xdr:colOff>
                    <xdr:row>8</xdr:row>
                    <xdr:rowOff>142875</xdr:rowOff>
                  </from>
                  <to>
                    <xdr:col>11</xdr:col>
                    <xdr:colOff>400050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EBE1E-9D45-4A36-AC7C-78BC619CB8F1}">
  <sheetPr codeName="Sheet4"/>
  <dimension ref="A1:AC146"/>
  <sheetViews>
    <sheetView zoomScaleNormal="100" workbookViewId="0"/>
  </sheetViews>
  <sheetFormatPr defaultRowHeight="12.75" x14ac:dyDescent="0.2"/>
  <cols>
    <col min="3" max="4" width="9.28515625" customWidth="1"/>
    <col min="5" max="23" width="9.140625" customWidth="1"/>
    <col min="24" max="24" width="11" bestFit="1" customWidth="1"/>
  </cols>
  <sheetData>
    <row r="1" spans="1:27" ht="16.5" thickBot="1" x14ac:dyDescent="0.35">
      <c r="A1" s="26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6">
        <v>7</v>
      </c>
      <c r="H1" s="26">
        <v>8</v>
      </c>
      <c r="I1" s="26">
        <v>9</v>
      </c>
      <c r="J1" s="26">
        <v>10</v>
      </c>
      <c r="K1" s="26">
        <v>11</v>
      </c>
      <c r="L1" s="26">
        <v>12</v>
      </c>
      <c r="M1" s="26">
        <v>13</v>
      </c>
      <c r="N1" s="26">
        <v>14</v>
      </c>
      <c r="O1" s="26">
        <v>15</v>
      </c>
      <c r="P1" s="26">
        <v>16</v>
      </c>
      <c r="Q1" s="26">
        <v>17</v>
      </c>
      <c r="R1" s="26">
        <v>18</v>
      </c>
      <c r="S1" s="26">
        <v>19</v>
      </c>
      <c r="T1" s="26">
        <v>20</v>
      </c>
      <c r="U1" s="26">
        <v>21</v>
      </c>
      <c r="V1" s="26">
        <v>22</v>
      </c>
      <c r="W1" s="26">
        <v>23</v>
      </c>
      <c r="Y1" s="1" t="s">
        <v>16</v>
      </c>
      <c r="Z1" s="34">
        <f>'Grid-BC'!B15</f>
        <v>1000</v>
      </c>
      <c r="AA1" s="1" t="s">
        <v>13</v>
      </c>
    </row>
    <row r="2" spans="1:27" ht="17.25" thickTop="1" thickBot="1" x14ac:dyDescent="0.25">
      <c r="A2" s="14" t="s">
        <v>0</v>
      </c>
      <c r="B2" s="14" t="s">
        <v>1</v>
      </c>
      <c r="C2" s="14" t="s">
        <v>2</v>
      </c>
      <c r="D2" s="14" t="s">
        <v>52</v>
      </c>
      <c r="E2" s="14" t="s">
        <v>51</v>
      </c>
      <c r="F2" s="14" t="s">
        <v>61</v>
      </c>
      <c r="G2" s="14" t="s">
        <v>63</v>
      </c>
      <c r="H2" s="14" t="s">
        <v>3</v>
      </c>
      <c r="I2" s="14" t="s">
        <v>6</v>
      </c>
      <c r="J2" s="14" t="s">
        <v>57</v>
      </c>
      <c r="K2" s="14" t="s">
        <v>82</v>
      </c>
      <c r="L2" s="14" t="s">
        <v>5</v>
      </c>
      <c r="M2" s="14" t="s">
        <v>20</v>
      </c>
      <c r="N2" s="14" t="s">
        <v>4</v>
      </c>
      <c r="O2" s="14" t="s">
        <v>21</v>
      </c>
      <c r="P2" s="14" t="s">
        <v>12</v>
      </c>
      <c r="Q2" s="14" t="s">
        <v>30</v>
      </c>
      <c r="R2" s="14" t="s">
        <v>34</v>
      </c>
      <c r="S2" s="14" t="s">
        <v>35</v>
      </c>
      <c r="T2" s="14" t="s">
        <v>22</v>
      </c>
      <c r="U2" s="14" t="s">
        <v>33</v>
      </c>
      <c r="V2" s="14" t="s">
        <v>31</v>
      </c>
      <c r="W2" s="14" t="s">
        <v>37</v>
      </c>
      <c r="Y2" t="s">
        <v>7</v>
      </c>
      <c r="Z2" s="34">
        <f>'Grid-BC'!B11</f>
        <v>9.81</v>
      </c>
      <c r="AA2" t="s">
        <v>11</v>
      </c>
    </row>
    <row r="3" spans="1:27" ht="15.75" thickTop="1" thickBot="1" x14ac:dyDescent="0.25">
      <c r="A3" s="8">
        <v>1</v>
      </c>
      <c r="B3" s="14">
        <v>100</v>
      </c>
      <c r="C3" s="14">
        <v>10.635</v>
      </c>
      <c r="D3" s="10">
        <v>10.535</v>
      </c>
      <c r="E3" s="8">
        <v>10</v>
      </c>
      <c r="F3" s="20">
        <v>0</v>
      </c>
      <c r="G3" s="20">
        <v>0</v>
      </c>
      <c r="H3" s="9">
        <v>0.52986626832442085</v>
      </c>
      <c r="I3" s="9">
        <f>C3+H3</f>
        <v>11.16486626832442</v>
      </c>
      <c r="J3" s="9">
        <f>$Z$9</f>
        <v>20</v>
      </c>
      <c r="K3" s="10">
        <f>'Grid-BC'!$F$15</f>
        <v>1.4508717894715074E-2</v>
      </c>
      <c r="L3" s="9">
        <f>E3+H3*(F3+G3)</f>
        <v>10</v>
      </c>
      <c r="M3" s="9">
        <f>(H3/2)*(E3+L3)</f>
        <v>5.2986626832442081</v>
      </c>
      <c r="N3" s="9">
        <f>E3+H3*(SQRT(1+F3^2)+SQRT(1+G3^2))</f>
        <v>11.059732536648841</v>
      </c>
      <c r="O3" s="9">
        <f>M3/N3</f>
        <v>0.47909501117553532</v>
      </c>
      <c r="P3" s="9">
        <f>J3/M3</f>
        <v>3.7745373116966592</v>
      </c>
      <c r="Q3" s="9">
        <f>SQRT($Z$2*M3/L3)</f>
        <v>2.2799096675663639</v>
      </c>
      <c r="R3" s="5">
        <f t="shared" ref="R3" si="0">P3/Q3</f>
        <v>1.6555644135347258</v>
      </c>
      <c r="S3" s="10">
        <f>C3+H3+(P3^2/(2*$Z$2))</f>
        <v>11.891019780933505</v>
      </c>
      <c r="T3" s="12">
        <f>((J3*K3)/(M3*O3^(2/3)))^2</f>
        <v>7.999999999999903E-3</v>
      </c>
      <c r="U3" s="13">
        <f>(S3-S4-0.5*(B4-B3)*(T3+T4))^2</f>
        <v>1.3524843034459364E-31</v>
      </c>
      <c r="V3" s="5">
        <f>(H3/3)*(2*E3+L3)/(E3+L3)</f>
        <v>0.26493313416221043</v>
      </c>
      <c r="W3" s="5">
        <f>$Z$2*M3*V3+(J3^2)/M3</f>
        <v>89.261939000142888</v>
      </c>
      <c r="Y3" t="s">
        <v>25</v>
      </c>
      <c r="Z3" s="35">
        <f>'Grid-BC'!B16</f>
        <v>9.9999999999999995E-7</v>
      </c>
      <c r="AA3" t="s">
        <v>26</v>
      </c>
    </row>
    <row r="4" spans="1:27" ht="15.75" thickTop="1" thickBot="1" x14ac:dyDescent="0.25">
      <c r="A4" s="8">
        <v>2</v>
      </c>
      <c r="B4" s="14">
        <v>105</v>
      </c>
      <c r="C4" s="14">
        <v>10.595000000000001</v>
      </c>
      <c r="D4" s="10">
        <v>10.495000000000001</v>
      </c>
      <c r="E4" s="8">
        <v>10</v>
      </c>
      <c r="F4" s="20">
        <v>0</v>
      </c>
      <c r="G4" s="20">
        <v>0</v>
      </c>
      <c r="H4" s="9">
        <v>0.52986626832442085</v>
      </c>
      <c r="I4" s="9">
        <f t="shared" ref="I4:I32" si="1">C4+H4</f>
        <v>11.124866268324421</v>
      </c>
      <c r="J4" s="9">
        <f t="shared" ref="J4:J32" si="2">$Z$9</f>
        <v>20</v>
      </c>
      <c r="K4" s="10">
        <f>'Grid-BC'!$F$15</f>
        <v>1.4508717894715074E-2</v>
      </c>
      <c r="L4" s="9">
        <f t="shared" ref="L4:L32" si="3">E4+H4*(F4+G4)</f>
        <v>10</v>
      </c>
      <c r="M4" s="9">
        <f t="shared" ref="M4:M32" si="4">(H4/2)*(E4+L4)</f>
        <v>5.2986626832442081</v>
      </c>
      <c r="N4" s="9">
        <f t="shared" ref="N4:N32" si="5">E4+H4*(SQRT(1+F4^2)+SQRT(1+G4^2))</f>
        <v>11.059732536648841</v>
      </c>
      <c r="O4" s="9">
        <f t="shared" ref="O4:O32" si="6">M4/N4</f>
        <v>0.47909501117553532</v>
      </c>
      <c r="P4" s="9">
        <f t="shared" ref="P4:P32" si="7">J4/M4</f>
        <v>3.7745373116966592</v>
      </c>
      <c r="Q4" s="9">
        <f t="shared" ref="Q4:Q32" si="8">SQRT($Z$2*M4/L4)</f>
        <v>2.2799096675663639</v>
      </c>
      <c r="R4" s="5">
        <f t="shared" ref="R4:R32" si="9">P4/Q4</f>
        <v>1.6555644135347258</v>
      </c>
      <c r="S4" s="10">
        <f t="shared" ref="S4:S32" si="10">C4+H4+(P4^2/(2*$Z$2))</f>
        <v>11.851019780933505</v>
      </c>
      <c r="T4" s="12">
        <f t="shared" ref="T4:T32" si="11">((J4*K4)/(M4*O4^(2/3)))^2</f>
        <v>7.999999999999903E-3</v>
      </c>
      <c r="U4" s="13">
        <f t="shared" ref="U4:U31" si="12">(S4-S5-0.5*(B5-B4)*(T4+T5))^2</f>
        <v>1.3524843034459364E-31</v>
      </c>
      <c r="V4" s="5">
        <f t="shared" ref="V4:V32" si="13">(H4/3)*(2*E4+L4)/(E4+L4)</f>
        <v>0.26493313416221043</v>
      </c>
      <c r="W4" s="5">
        <f t="shared" ref="W4:W32" si="14">$Z$2*M4*V4+(J4^2)/M4</f>
        <v>89.261939000142888</v>
      </c>
      <c r="Y4" t="s">
        <v>10</v>
      </c>
      <c r="Z4" s="37">
        <f>'Grid-BC'!F15</f>
        <v>1.4508717894715074E-2</v>
      </c>
      <c r="AA4" t="s">
        <v>19</v>
      </c>
    </row>
    <row r="5" spans="1:27" ht="13.5" thickTop="1" x14ac:dyDescent="0.2">
      <c r="A5" s="8">
        <v>3</v>
      </c>
      <c r="B5" s="14">
        <v>110</v>
      </c>
      <c r="C5" s="14">
        <v>10.555000000000001</v>
      </c>
      <c r="D5" s="10">
        <v>10.455000000000002</v>
      </c>
      <c r="E5" s="8">
        <v>10</v>
      </c>
      <c r="F5" s="20">
        <v>0</v>
      </c>
      <c r="G5" s="20">
        <v>0</v>
      </c>
      <c r="H5" s="9">
        <v>0.52986626832442085</v>
      </c>
      <c r="I5" s="9">
        <f t="shared" si="1"/>
        <v>11.084866268324422</v>
      </c>
      <c r="J5" s="9">
        <f t="shared" si="2"/>
        <v>20</v>
      </c>
      <c r="K5" s="10">
        <f>'Grid-BC'!$F$15</f>
        <v>1.4508717894715074E-2</v>
      </c>
      <c r="L5" s="9">
        <f t="shared" si="3"/>
        <v>10</v>
      </c>
      <c r="M5" s="9">
        <f t="shared" si="4"/>
        <v>5.2986626832442081</v>
      </c>
      <c r="N5" s="9">
        <f t="shared" si="5"/>
        <v>11.059732536648841</v>
      </c>
      <c r="O5" s="9">
        <f t="shared" si="6"/>
        <v>0.47909501117553532</v>
      </c>
      <c r="P5" s="9">
        <f t="shared" si="7"/>
        <v>3.7745373116966592</v>
      </c>
      <c r="Q5" s="9">
        <f t="shared" si="8"/>
        <v>2.2799096675663639</v>
      </c>
      <c r="R5" s="5">
        <f t="shared" si="9"/>
        <v>1.6555644135347258</v>
      </c>
      <c r="S5" s="10">
        <f t="shared" si="10"/>
        <v>11.811019780933506</v>
      </c>
      <c r="T5" s="12">
        <f t="shared" si="11"/>
        <v>7.999999999999903E-3</v>
      </c>
      <c r="U5" s="13">
        <f t="shared" si="12"/>
        <v>1.3524843034459364E-31</v>
      </c>
      <c r="V5" s="5">
        <f t="shared" si="13"/>
        <v>0.26493313416221043</v>
      </c>
      <c r="W5" s="5">
        <f t="shared" si="14"/>
        <v>89.261939000142888</v>
      </c>
    </row>
    <row r="6" spans="1:27" x14ac:dyDescent="0.2">
      <c r="A6" s="8">
        <v>4</v>
      </c>
      <c r="B6" s="14">
        <v>115</v>
      </c>
      <c r="C6" s="14">
        <v>10.515000000000002</v>
      </c>
      <c r="D6" s="10">
        <v>10.415000000000003</v>
      </c>
      <c r="E6" s="8">
        <v>10</v>
      </c>
      <c r="F6" s="20">
        <v>0</v>
      </c>
      <c r="G6" s="20">
        <v>0</v>
      </c>
      <c r="H6" s="9">
        <v>0.52986626832442085</v>
      </c>
      <c r="I6" s="9">
        <f t="shared" si="1"/>
        <v>11.044866268324423</v>
      </c>
      <c r="J6" s="9">
        <f t="shared" si="2"/>
        <v>20</v>
      </c>
      <c r="K6" s="10">
        <f>'Grid-BC'!$F$15</f>
        <v>1.4508717894715074E-2</v>
      </c>
      <c r="L6" s="9">
        <f t="shared" si="3"/>
        <v>10</v>
      </c>
      <c r="M6" s="9">
        <f t="shared" si="4"/>
        <v>5.2986626832442081</v>
      </c>
      <c r="N6" s="9">
        <f t="shared" si="5"/>
        <v>11.059732536648841</v>
      </c>
      <c r="O6" s="9">
        <f t="shared" si="6"/>
        <v>0.47909501117553532</v>
      </c>
      <c r="P6" s="9">
        <f t="shared" si="7"/>
        <v>3.7745373116966592</v>
      </c>
      <c r="Q6" s="9">
        <f t="shared" si="8"/>
        <v>2.2799096675663639</v>
      </c>
      <c r="R6" s="5">
        <f t="shared" si="9"/>
        <v>1.6555644135347258</v>
      </c>
      <c r="S6" s="10">
        <f t="shared" si="10"/>
        <v>11.771019780933507</v>
      </c>
      <c r="T6" s="12">
        <f t="shared" si="11"/>
        <v>7.999999999999903E-3</v>
      </c>
      <c r="U6" s="13">
        <f t="shared" si="12"/>
        <v>1.3524843034459364E-31</v>
      </c>
      <c r="V6" s="5">
        <f t="shared" si="13"/>
        <v>0.26493313416221043</v>
      </c>
      <c r="W6" s="5">
        <f t="shared" si="14"/>
        <v>89.261939000142888</v>
      </c>
    </row>
    <row r="7" spans="1:27" x14ac:dyDescent="0.2">
      <c r="A7" s="8">
        <v>5</v>
      </c>
      <c r="B7" s="14">
        <v>120</v>
      </c>
      <c r="C7" s="14">
        <v>10.475000000000003</v>
      </c>
      <c r="D7" s="10">
        <v>10.375000000000004</v>
      </c>
      <c r="E7" s="8">
        <v>10</v>
      </c>
      <c r="F7" s="20">
        <v>0</v>
      </c>
      <c r="G7" s="20">
        <v>0</v>
      </c>
      <c r="H7" s="9">
        <v>0.52986626832442085</v>
      </c>
      <c r="I7" s="9">
        <f t="shared" si="1"/>
        <v>11.004866268324424</v>
      </c>
      <c r="J7" s="9">
        <f t="shared" si="2"/>
        <v>20</v>
      </c>
      <c r="K7" s="10">
        <f>'Grid-BC'!$F$15</f>
        <v>1.4508717894715074E-2</v>
      </c>
      <c r="L7" s="9">
        <f t="shared" si="3"/>
        <v>10</v>
      </c>
      <c r="M7" s="9">
        <f t="shared" si="4"/>
        <v>5.2986626832442081</v>
      </c>
      <c r="N7" s="9">
        <f t="shared" si="5"/>
        <v>11.059732536648841</v>
      </c>
      <c r="O7" s="9">
        <f t="shared" si="6"/>
        <v>0.47909501117553532</v>
      </c>
      <c r="P7" s="9">
        <f t="shared" si="7"/>
        <v>3.7745373116966592</v>
      </c>
      <c r="Q7" s="9">
        <f t="shared" si="8"/>
        <v>2.2799096675663639</v>
      </c>
      <c r="R7" s="5">
        <f t="shared" si="9"/>
        <v>1.6555644135347258</v>
      </c>
      <c r="S7" s="10">
        <f t="shared" si="10"/>
        <v>11.731019780933508</v>
      </c>
      <c r="T7" s="12">
        <f t="shared" si="11"/>
        <v>7.999999999999903E-3</v>
      </c>
      <c r="U7" s="13">
        <f t="shared" si="12"/>
        <v>1.3524843034459364E-31</v>
      </c>
      <c r="V7" s="5">
        <f t="shared" si="13"/>
        <v>0.26493313416221043</v>
      </c>
      <c r="W7" s="5">
        <f t="shared" si="14"/>
        <v>89.261939000142888</v>
      </c>
      <c r="Y7" s="21" t="s">
        <v>64</v>
      </c>
    </row>
    <row r="8" spans="1:27" ht="13.5" thickBot="1" x14ac:dyDescent="0.25">
      <c r="A8" s="8">
        <v>6</v>
      </c>
      <c r="B8" s="14">
        <v>125</v>
      </c>
      <c r="C8" s="14">
        <v>10.435000000000004</v>
      </c>
      <c r="D8" s="10">
        <v>10.335000000000004</v>
      </c>
      <c r="E8" s="8">
        <v>10</v>
      </c>
      <c r="F8" s="20">
        <v>0</v>
      </c>
      <c r="G8" s="20">
        <v>0</v>
      </c>
      <c r="H8" s="9">
        <v>0.52986626832442085</v>
      </c>
      <c r="I8" s="9">
        <f t="shared" si="1"/>
        <v>10.964866268324425</v>
      </c>
      <c r="J8" s="9">
        <f t="shared" si="2"/>
        <v>20</v>
      </c>
      <c r="K8" s="10">
        <f>'Grid-BC'!$F$15</f>
        <v>1.4508717894715074E-2</v>
      </c>
      <c r="L8" s="9">
        <f t="shared" si="3"/>
        <v>10</v>
      </c>
      <c r="M8" s="9">
        <f t="shared" si="4"/>
        <v>5.2986626832442081</v>
      </c>
      <c r="N8" s="9">
        <f t="shared" si="5"/>
        <v>11.059732536648841</v>
      </c>
      <c r="O8" s="9">
        <f t="shared" si="6"/>
        <v>0.47909501117553532</v>
      </c>
      <c r="P8" s="9">
        <f t="shared" si="7"/>
        <v>3.7745373116966592</v>
      </c>
      <c r="Q8" s="9">
        <f t="shared" si="8"/>
        <v>2.2799096675663639</v>
      </c>
      <c r="R8" s="5">
        <f t="shared" si="9"/>
        <v>1.6555644135347258</v>
      </c>
      <c r="S8" s="10">
        <f t="shared" si="10"/>
        <v>11.691019780933509</v>
      </c>
      <c r="T8" s="12">
        <f t="shared" si="11"/>
        <v>7.999999999999903E-3</v>
      </c>
      <c r="U8" s="13">
        <f t="shared" si="12"/>
        <v>1.3524843034459364E-31</v>
      </c>
      <c r="V8" s="5">
        <f t="shared" si="13"/>
        <v>0.26493313416221043</v>
      </c>
      <c r="W8" s="5">
        <f t="shared" si="14"/>
        <v>89.261939000142888</v>
      </c>
      <c r="Y8" t="s">
        <v>71</v>
      </c>
      <c r="Z8" s="29">
        <f>'Grid-BC'!P11</f>
        <v>11.4</v>
      </c>
      <c r="AA8" t="s">
        <v>9</v>
      </c>
    </row>
    <row r="9" spans="1:27" ht="15.75" thickTop="1" thickBot="1" x14ac:dyDescent="0.25">
      <c r="A9" s="8">
        <v>7</v>
      </c>
      <c r="B9" s="14">
        <v>130</v>
      </c>
      <c r="C9" s="14">
        <v>10.395000000000005</v>
      </c>
      <c r="D9" s="10">
        <v>10.295000000000005</v>
      </c>
      <c r="E9" s="8">
        <v>10</v>
      </c>
      <c r="F9" s="20">
        <v>0</v>
      </c>
      <c r="G9" s="20">
        <v>0</v>
      </c>
      <c r="H9" s="9">
        <v>0.52986626832442085</v>
      </c>
      <c r="I9" s="9">
        <f t="shared" si="1"/>
        <v>10.924866268324426</v>
      </c>
      <c r="J9" s="9">
        <f t="shared" si="2"/>
        <v>20</v>
      </c>
      <c r="K9" s="10">
        <f>'Grid-BC'!$F$15</f>
        <v>1.4508717894715074E-2</v>
      </c>
      <c r="L9" s="9">
        <f t="shared" si="3"/>
        <v>10</v>
      </c>
      <c r="M9" s="9">
        <f t="shared" si="4"/>
        <v>5.2986626832442081</v>
      </c>
      <c r="N9" s="9">
        <f t="shared" si="5"/>
        <v>11.059732536648841</v>
      </c>
      <c r="O9" s="9">
        <f t="shared" si="6"/>
        <v>0.47909501117553532</v>
      </c>
      <c r="P9" s="9">
        <f t="shared" si="7"/>
        <v>3.7745373116966592</v>
      </c>
      <c r="Q9" s="9">
        <f t="shared" si="8"/>
        <v>2.2799096675663639</v>
      </c>
      <c r="R9" s="5">
        <f t="shared" si="9"/>
        <v>1.6555644135347258</v>
      </c>
      <c r="S9" s="10">
        <f t="shared" si="10"/>
        <v>11.65101978093351</v>
      </c>
      <c r="T9" s="12">
        <f t="shared" si="11"/>
        <v>7.999999999999903E-3</v>
      </c>
      <c r="U9" s="13">
        <f t="shared" si="12"/>
        <v>1.3524843034459364E-31</v>
      </c>
      <c r="V9" s="5">
        <f t="shared" si="13"/>
        <v>0.26493313416221043</v>
      </c>
      <c r="W9" s="5">
        <f t="shared" si="14"/>
        <v>89.261939000142888</v>
      </c>
      <c r="Y9" t="s">
        <v>50</v>
      </c>
      <c r="Z9" s="34">
        <f>'Grid-BC'!O11</f>
        <v>20</v>
      </c>
      <c r="AA9" t="s">
        <v>14</v>
      </c>
    </row>
    <row r="10" spans="1:27" ht="13.5" thickTop="1" x14ac:dyDescent="0.2">
      <c r="A10" s="8">
        <v>8</v>
      </c>
      <c r="B10" s="14">
        <v>135</v>
      </c>
      <c r="C10" s="14">
        <v>10.355000000000006</v>
      </c>
      <c r="D10" s="10">
        <v>10.255000000000006</v>
      </c>
      <c r="E10" s="8">
        <v>10</v>
      </c>
      <c r="F10" s="20">
        <v>0</v>
      </c>
      <c r="G10" s="20">
        <v>0</v>
      </c>
      <c r="H10" s="9">
        <v>0.52986626832442085</v>
      </c>
      <c r="I10" s="9">
        <f t="shared" si="1"/>
        <v>10.884866268324426</v>
      </c>
      <c r="J10" s="9">
        <f t="shared" si="2"/>
        <v>20</v>
      </c>
      <c r="K10" s="10">
        <f>'Grid-BC'!$F$15</f>
        <v>1.4508717894715074E-2</v>
      </c>
      <c r="L10" s="9">
        <f t="shared" si="3"/>
        <v>10</v>
      </c>
      <c r="M10" s="9">
        <f t="shared" si="4"/>
        <v>5.2986626832442081</v>
      </c>
      <c r="N10" s="9">
        <f t="shared" si="5"/>
        <v>11.059732536648841</v>
      </c>
      <c r="O10" s="9">
        <f t="shared" si="6"/>
        <v>0.47909501117553532</v>
      </c>
      <c r="P10" s="9">
        <f t="shared" si="7"/>
        <v>3.7745373116966592</v>
      </c>
      <c r="Q10" s="9">
        <f t="shared" si="8"/>
        <v>2.2799096675663639</v>
      </c>
      <c r="R10" s="5">
        <f t="shared" si="9"/>
        <v>1.6555644135347258</v>
      </c>
      <c r="S10" s="10">
        <f t="shared" si="10"/>
        <v>11.611019780933511</v>
      </c>
      <c r="T10" s="12">
        <f t="shared" si="11"/>
        <v>7.999999999999903E-3</v>
      </c>
      <c r="U10" s="13">
        <f t="shared" si="12"/>
        <v>1.3524843034459364E-31</v>
      </c>
      <c r="V10" s="5">
        <f t="shared" si="13"/>
        <v>0.26493313416221043</v>
      </c>
      <c r="W10" s="5">
        <f t="shared" si="14"/>
        <v>89.261939000142888</v>
      </c>
    </row>
    <row r="11" spans="1:27" x14ac:dyDescent="0.2">
      <c r="A11" s="8">
        <v>9</v>
      </c>
      <c r="B11" s="14">
        <v>140</v>
      </c>
      <c r="C11" s="14">
        <v>10.315000000000007</v>
      </c>
      <c r="D11" s="10">
        <v>10.215000000000007</v>
      </c>
      <c r="E11" s="8">
        <v>10</v>
      </c>
      <c r="F11" s="20">
        <v>0</v>
      </c>
      <c r="G11" s="20">
        <v>0</v>
      </c>
      <c r="H11" s="9">
        <v>0.52986626832442085</v>
      </c>
      <c r="I11" s="9">
        <f t="shared" si="1"/>
        <v>10.844866268324427</v>
      </c>
      <c r="J11" s="9">
        <f t="shared" si="2"/>
        <v>20</v>
      </c>
      <c r="K11" s="10">
        <f>'Grid-BC'!$F$15</f>
        <v>1.4508717894715074E-2</v>
      </c>
      <c r="L11" s="9">
        <f t="shared" si="3"/>
        <v>10</v>
      </c>
      <c r="M11" s="9">
        <f t="shared" si="4"/>
        <v>5.2986626832442081</v>
      </c>
      <c r="N11" s="9">
        <f t="shared" si="5"/>
        <v>11.059732536648841</v>
      </c>
      <c r="O11" s="9">
        <f t="shared" si="6"/>
        <v>0.47909501117553532</v>
      </c>
      <c r="P11" s="9">
        <f t="shared" si="7"/>
        <v>3.7745373116966592</v>
      </c>
      <c r="Q11" s="9">
        <f t="shared" si="8"/>
        <v>2.2799096675663639</v>
      </c>
      <c r="R11" s="5">
        <f t="shared" si="9"/>
        <v>1.6555644135347258</v>
      </c>
      <c r="S11" s="10">
        <f t="shared" si="10"/>
        <v>11.571019780933511</v>
      </c>
      <c r="T11" s="12">
        <f t="shared" si="11"/>
        <v>7.999999999999903E-3</v>
      </c>
      <c r="U11" s="13">
        <f t="shared" si="12"/>
        <v>1.3524843034459364E-31</v>
      </c>
      <c r="V11" s="5">
        <f t="shared" si="13"/>
        <v>0.26493313416221043</v>
      </c>
      <c r="W11" s="5">
        <f t="shared" si="14"/>
        <v>89.261939000142888</v>
      </c>
    </row>
    <row r="12" spans="1:27" x14ac:dyDescent="0.2">
      <c r="A12" s="8">
        <v>10</v>
      </c>
      <c r="B12" s="14">
        <v>145</v>
      </c>
      <c r="C12" s="14">
        <v>10.275000000000007</v>
      </c>
      <c r="D12" s="10">
        <v>10.175000000000008</v>
      </c>
      <c r="E12" s="8">
        <v>10</v>
      </c>
      <c r="F12" s="20">
        <v>0</v>
      </c>
      <c r="G12" s="20">
        <v>0</v>
      </c>
      <c r="H12" s="9">
        <v>0.52986626832442085</v>
      </c>
      <c r="I12" s="9">
        <f t="shared" si="1"/>
        <v>10.804866268324428</v>
      </c>
      <c r="J12" s="9">
        <f t="shared" si="2"/>
        <v>20</v>
      </c>
      <c r="K12" s="10">
        <f>'Grid-BC'!$F$15</f>
        <v>1.4508717894715074E-2</v>
      </c>
      <c r="L12" s="9">
        <f t="shared" si="3"/>
        <v>10</v>
      </c>
      <c r="M12" s="9">
        <f t="shared" si="4"/>
        <v>5.2986626832442081</v>
      </c>
      <c r="N12" s="9">
        <f t="shared" si="5"/>
        <v>11.059732536648841</v>
      </c>
      <c r="O12" s="9">
        <f t="shared" si="6"/>
        <v>0.47909501117553532</v>
      </c>
      <c r="P12" s="9">
        <f t="shared" si="7"/>
        <v>3.7745373116966592</v>
      </c>
      <c r="Q12" s="9">
        <f t="shared" si="8"/>
        <v>2.2799096675663639</v>
      </c>
      <c r="R12" s="5">
        <f t="shared" si="9"/>
        <v>1.6555644135347258</v>
      </c>
      <c r="S12" s="10">
        <f t="shared" si="10"/>
        <v>11.531019780933512</v>
      </c>
      <c r="T12" s="12">
        <f t="shared" si="11"/>
        <v>7.999999999999903E-3</v>
      </c>
      <c r="U12" s="13">
        <f t="shared" si="12"/>
        <v>1.3524843034459364E-31</v>
      </c>
      <c r="V12" s="5">
        <f t="shared" si="13"/>
        <v>0.26493313416221043</v>
      </c>
      <c r="W12" s="5">
        <f t="shared" si="14"/>
        <v>89.261939000142888</v>
      </c>
    </row>
    <row r="13" spans="1:27" x14ac:dyDescent="0.2">
      <c r="A13" s="8">
        <v>11</v>
      </c>
      <c r="B13" s="14">
        <v>150</v>
      </c>
      <c r="C13" s="14">
        <v>10.235000000000008</v>
      </c>
      <c r="D13" s="10">
        <v>10.135000000000009</v>
      </c>
      <c r="E13" s="8">
        <v>10</v>
      </c>
      <c r="F13" s="20">
        <v>0</v>
      </c>
      <c r="G13" s="20">
        <v>0</v>
      </c>
      <c r="H13" s="9">
        <v>0.52986626832442085</v>
      </c>
      <c r="I13" s="9">
        <f t="shared" si="1"/>
        <v>10.764866268324429</v>
      </c>
      <c r="J13" s="9">
        <f t="shared" si="2"/>
        <v>20</v>
      </c>
      <c r="K13" s="10">
        <f>'Grid-BC'!$F$15</f>
        <v>1.4508717894715074E-2</v>
      </c>
      <c r="L13" s="9">
        <f t="shared" si="3"/>
        <v>10</v>
      </c>
      <c r="M13" s="9">
        <f t="shared" si="4"/>
        <v>5.2986626832442081</v>
      </c>
      <c r="N13" s="9">
        <f t="shared" si="5"/>
        <v>11.059732536648841</v>
      </c>
      <c r="O13" s="9">
        <f t="shared" si="6"/>
        <v>0.47909501117553532</v>
      </c>
      <c r="P13" s="9">
        <f t="shared" si="7"/>
        <v>3.7745373116966592</v>
      </c>
      <c r="Q13" s="9">
        <f t="shared" si="8"/>
        <v>2.2799096675663639</v>
      </c>
      <c r="R13" s="5">
        <f t="shared" si="9"/>
        <v>1.6555644135347258</v>
      </c>
      <c r="S13" s="10">
        <f t="shared" si="10"/>
        <v>11.491019780933513</v>
      </c>
      <c r="T13" s="12">
        <f t="shared" si="11"/>
        <v>7.999999999999903E-3</v>
      </c>
      <c r="U13" s="13">
        <f t="shared" si="12"/>
        <v>1.3524843034459364E-31</v>
      </c>
      <c r="V13" s="5">
        <f t="shared" si="13"/>
        <v>0.26493313416221043</v>
      </c>
      <c r="W13" s="5">
        <f t="shared" si="14"/>
        <v>89.261939000142888</v>
      </c>
    </row>
    <row r="14" spans="1:27" x14ac:dyDescent="0.2">
      <c r="A14" s="8">
        <v>12</v>
      </c>
      <c r="B14" s="14">
        <v>155</v>
      </c>
      <c r="C14" s="14">
        <v>10.195000000000009</v>
      </c>
      <c r="D14" s="10">
        <v>10.09500000000001</v>
      </c>
      <c r="E14" s="8">
        <v>10</v>
      </c>
      <c r="F14" s="20">
        <v>0</v>
      </c>
      <c r="G14" s="20">
        <v>0</v>
      </c>
      <c r="H14" s="9">
        <v>0.52986626832442085</v>
      </c>
      <c r="I14" s="9">
        <f t="shared" si="1"/>
        <v>10.72486626832443</v>
      </c>
      <c r="J14" s="9">
        <f t="shared" si="2"/>
        <v>20</v>
      </c>
      <c r="K14" s="10">
        <f>'Grid-BC'!$F$15</f>
        <v>1.4508717894715074E-2</v>
      </c>
      <c r="L14" s="9">
        <f t="shared" si="3"/>
        <v>10</v>
      </c>
      <c r="M14" s="9">
        <f t="shared" si="4"/>
        <v>5.2986626832442081</v>
      </c>
      <c r="N14" s="9">
        <f t="shared" si="5"/>
        <v>11.059732536648841</v>
      </c>
      <c r="O14" s="9">
        <f t="shared" si="6"/>
        <v>0.47909501117553532</v>
      </c>
      <c r="P14" s="9">
        <f t="shared" si="7"/>
        <v>3.7745373116966592</v>
      </c>
      <c r="Q14" s="9">
        <f t="shared" si="8"/>
        <v>2.2799096675663639</v>
      </c>
      <c r="R14" s="5">
        <f t="shared" si="9"/>
        <v>1.6555644135347258</v>
      </c>
      <c r="S14" s="10">
        <f t="shared" si="10"/>
        <v>11.451019780933514</v>
      </c>
      <c r="T14" s="12">
        <f t="shared" si="11"/>
        <v>7.999999999999903E-3</v>
      </c>
      <c r="U14" s="13">
        <f t="shared" si="12"/>
        <v>1.3524843034459364E-31</v>
      </c>
      <c r="V14" s="5">
        <f t="shared" si="13"/>
        <v>0.26493313416221043</v>
      </c>
      <c r="W14" s="5">
        <f t="shared" si="14"/>
        <v>89.261939000142888</v>
      </c>
    </row>
    <row r="15" spans="1:27" x14ac:dyDescent="0.2">
      <c r="A15" s="8">
        <v>13</v>
      </c>
      <c r="B15" s="14">
        <v>160</v>
      </c>
      <c r="C15" s="14">
        <v>10.15500000000001</v>
      </c>
      <c r="D15" s="10">
        <v>10.05500000000001</v>
      </c>
      <c r="E15" s="8">
        <v>10</v>
      </c>
      <c r="F15" s="20">
        <v>0</v>
      </c>
      <c r="G15" s="20">
        <v>0</v>
      </c>
      <c r="H15" s="9">
        <v>0.52986626832442085</v>
      </c>
      <c r="I15" s="9">
        <f t="shared" si="1"/>
        <v>10.684866268324431</v>
      </c>
      <c r="J15" s="9">
        <f t="shared" si="2"/>
        <v>20</v>
      </c>
      <c r="K15" s="10">
        <f>'Grid-BC'!$F$15</f>
        <v>1.4508717894715074E-2</v>
      </c>
      <c r="L15" s="9">
        <f t="shared" si="3"/>
        <v>10</v>
      </c>
      <c r="M15" s="9">
        <f t="shared" si="4"/>
        <v>5.2986626832442081</v>
      </c>
      <c r="N15" s="9">
        <f t="shared" si="5"/>
        <v>11.059732536648841</v>
      </c>
      <c r="O15" s="9">
        <f t="shared" si="6"/>
        <v>0.47909501117553532</v>
      </c>
      <c r="P15" s="9">
        <f t="shared" si="7"/>
        <v>3.7745373116966592</v>
      </c>
      <c r="Q15" s="9">
        <f t="shared" si="8"/>
        <v>2.2799096675663639</v>
      </c>
      <c r="R15" s="5">
        <f t="shared" si="9"/>
        <v>1.6555644135347258</v>
      </c>
      <c r="S15" s="10">
        <f t="shared" si="10"/>
        <v>11.411019780933515</v>
      </c>
      <c r="T15" s="12">
        <f t="shared" si="11"/>
        <v>7.999999999999903E-3</v>
      </c>
      <c r="U15" s="13">
        <f t="shared" si="12"/>
        <v>1.3524843034459364E-31</v>
      </c>
      <c r="V15" s="5">
        <f t="shared" si="13"/>
        <v>0.26493313416221043</v>
      </c>
      <c r="W15" s="5">
        <f t="shared" si="14"/>
        <v>89.261939000142888</v>
      </c>
    </row>
    <row r="16" spans="1:27" x14ac:dyDescent="0.2">
      <c r="A16" s="8">
        <v>14</v>
      </c>
      <c r="B16" s="14">
        <v>165</v>
      </c>
      <c r="C16" s="14">
        <v>10.115000000000011</v>
      </c>
      <c r="D16" s="27">
        <v>10.015000000000011</v>
      </c>
      <c r="E16" s="18">
        <v>10</v>
      </c>
      <c r="F16" s="20">
        <v>0</v>
      </c>
      <c r="G16" s="20">
        <v>0</v>
      </c>
      <c r="H16" s="9">
        <v>0.52986626832442085</v>
      </c>
      <c r="I16" s="9">
        <f t="shared" si="1"/>
        <v>10.644866268324432</v>
      </c>
      <c r="J16" s="9">
        <f t="shared" si="2"/>
        <v>20</v>
      </c>
      <c r="K16" s="10">
        <f>'Grid-BC'!$F$15</f>
        <v>1.4508717894715074E-2</v>
      </c>
      <c r="L16" s="9">
        <f t="shared" si="3"/>
        <v>10</v>
      </c>
      <c r="M16" s="9">
        <f t="shared" si="4"/>
        <v>5.2986626832442081</v>
      </c>
      <c r="N16" s="9">
        <f t="shared" si="5"/>
        <v>11.059732536648841</v>
      </c>
      <c r="O16" s="9">
        <f t="shared" si="6"/>
        <v>0.47909501117553532</v>
      </c>
      <c r="P16" s="9">
        <f t="shared" si="7"/>
        <v>3.7745373116966592</v>
      </c>
      <c r="Q16" s="9">
        <f t="shared" si="8"/>
        <v>2.2799096675663639</v>
      </c>
      <c r="R16" s="5">
        <f t="shared" si="9"/>
        <v>1.6555644135347258</v>
      </c>
      <c r="S16" s="10">
        <f t="shared" si="10"/>
        <v>11.371019780933516</v>
      </c>
      <c r="T16" s="12">
        <f t="shared" si="11"/>
        <v>7.999999999999903E-3</v>
      </c>
      <c r="U16" s="13">
        <f t="shared" si="12"/>
        <v>1.3524843034459364E-31</v>
      </c>
      <c r="V16" s="5">
        <f t="shared" si="13"/>
        <v>0.26493313416221043</v>
      </c>
      <c r="W16" s="5">
        <f t="shared" si="14"/>
        <v>89.261939000142888</v>
      </c>
    </row>
    <row r="17" spans="1:23" x14ac:dyDescent="0.2">
      <c r="A17" s="8">
        <v>15</v>
      </c>
      <c r="B17" s="14">
        <v>170</v>
      </c>
      <c r="C17" s="14">
        <v>10.075000000000012</v>
      </c>
      <c r="D17" s="10">
        <v>9.9750000000000121</v>
      </c>
      <c r="E17" s="8">
        <v>10</v>
      </c>
      <c r="F17" s="20">
        <v>0</v>
      </c>
      <c r="G17" s="20">
        <v>0</v>
      </c>
      <c r="H17" s="9">
        <v>0.52986626832442085</v>
      </c>
      <c r="I17" s="9">
        <f t="shared" si="1"/>
        <v>10.604866268324432</v>
      </c>
      <c r="J17" s="9">
        <f t="shared" si="2"/>
        <v>20</v>
      </c>
      <c r="K17" s="10">
        <f>'Grid-BC'!$F$15</f>
        <v>1.4508717894715074E-2</v>
      </c>
      <c r="L17" s="9">
        <f t="shared" si="3"/>
        <v>10</v>
      </c>
      <c r="M17" s="9">
        <f t="shared" si="4"/>
        <v>5.2986626832442081</v>
      </c>
      <c r="N17" s="9">
        <f t="shared" si="5"/>
        <v>11.059732536648841</v>
      </c>
      <c r="O17" s="9">
        <f t="shared" si="6"/>
        <v>0.47909501117553532</v>
      </c>
      <c r="P17" s="9">
        <f t="shared" si="7"/>
        <v>3.7745373116966592</v>
      </c>
      <c r="Q17" s="9">
        <f t="shared" si="8"/>
        <v>2.2799096675663639</v>
      </c>
      <c r="R17" s="5">
        <f t="shared" si="9"/>
        <v>1.6555644135347258</v>
      </c>
      <c r="S17" s="10">
        <f t="shared" si="10"/>
        <v>11.331019780933516</v>
      </c>
      <c r="T17" s="12">
        <f t="shared" si="11"/>
        <v>7.999999999999903E-3</v>
      </c>
      <c r="U17" s="13">
        <f t="shared" si="12"/>
        <v>4.2524085490349914E-4</v>
      </c>
      <c r="V17" s="5">
        <f t="shared" si="13"/>
        <v>0.26493313416221043</v>
      </c>
      <c r="W17" s="5">
        <f t="shared" si="14"/>
        <v>89.261939000142888</v>
      </c>
    </row>
    <row r="18" spans="1:23" x14ac:dyDescent="0.2">
      <c r="A18" s="8">
        <v>16</v>
      </c>
      <c r="B18" s="14">
        <v>175</v>
      </c>
      <c r="C18" s="14">
        <v>10.070000000000011</v>
      </c>
      <c r="D18" s="10">
        <v>9.9700000000000113</v>
      </c>
      <c r="E18" s="8">
        <v>10</v>
      </c>
      <c r="F18" s="20">
        <v>0</v>
      </c>
      <c r="G18" s="20">
        <v>0</v>
      </c>
      <c r="H18" s="9">
        <v>1.0231438844279075</v>
      </c>
      <c r="I18" s="9">
        <f t="shared" si="1"/>
        <v>11.093143884427919</v>
      </c>
      <c r="J18" s="9">
        <f t="shared" si="2"/>
        <v>20</v>
      </c>
      <c r="K18" s="10">
        <f>'Grid-BC'!$F$15</f>
        <v>1.4508717894715074E-2</v>
      </c>
      <c r="L18" s="9">
        <f t="shared" si="3"/>
        <v>10</v>
      </c>
      <c r="M18" s="9">
        <f t="shared" si="4"/>
        <v>10.231438844279076</v>
      </c>
      <c r="N18" s="9">
        <f t="shared" si="5"/>
        <v>12.046287768855816</v>
      </c>
      <c r="O18" s="9">
        <f t="shared" si="6"/>
        <v>0.84934371821426957</v>
      </c>
      <c r="P18" s="9">
        <f t="shared" si="7"/>
        <v>1.9547592772040103</v>
      </c>
      <c r="Q18" s="9">
        <f t="shared" si="8"/>
        <v>3.168129022978353</v>
      </c>
      <c r="R18" s="5">
        <f t="shared" si="9"/>
        <v>0.61700747129494882</v>
      </c>
      <c r="S18" s="10">
        <f t="shared" si="10"/>
        <v>11.28789841204337</v>
      </c>
      <c r="T18" s="12">
        <f t="shared" si="11"/>
        <v>9.9999999999999243E-4</v>
      </c>
      <c r="U18" s="13">
        <f t="shared" si="12"/>
        <v>6.7183733929156691E-31</v>
      </c>
      <c r="V18" s="5">
        <f t="shared" si="13"/>
        <v>0.51157194221395375</v>
      </c>
      <c r="W18" s="5">
        <f t="shared" si="14"/>
        <v>90.441873718361464</v>
      </c>
    </row>
    <row r="19" spans="1:23" x14ac:dyDescent="0.2">
      <c r="A19" s="8">
        <v>17</v>
      </c>
      <c r="B19" s="14">
        <v>180</v>
      </c>
      <c r="C19" s="14">
        <v>10.06500000000001</v>
      </c>
      <c r="D19" s="10">
        <v>9.9650000000000105</v>
      </c>
      <c r="E19" s="8">
        <v>10</v>
      </c>
      <c r="F19" s="20">
        <v>0</v>
      </c>
      <c r="G19" s="20">
        <v>0</v>
      </c>
      <c r="H19" s="9">
        <v>1.0231438844279075</v>
      </c>
      <c r="I19" s="9">
        <f t="shared" si="1"/>
        <v>11.088143884427918</v>
      </c>
      <c r="J19" s="9">
        <f t="shared" si="2"/>
        <v>20</v>
      </c>
      <c r="K19" s="10">
        <f>'Grid-BC'!$F$15</f>
        <v>1.4508717894715074E-2</v>
      </c>
      <c r="L19" s="9">
        <f t="shared" si="3"/>
        <v>10</v>
      </c>
      <c r="M19" s="9">
        <f t="shared" si="4"/>
        <v>10.231438844279076</v>
      </c>
      <c r="N19" s="9">
        <f t="shared" si="5"/>
        <v>12.046287768855816</v>
      </c>
      <c r="O19" s="9">
        <f t="shared" si="6"/>
        <v>0.84934371821426957</v>
      </c>
      <c r="P19" s="9">
        <f t="shared" si="7"/>
        <v>1.9547592772040103</v>
      </c>
      <c r="Q19" s="9">
        <f t="shared" si="8"/>
        <v>3.168129022978353</v>
      </c>
      <c r="R19" s="5">
        <f t="shared" si="9"/>
        <v>0.61700747129494882</v>
      </c>
      <c r="S19" s="10">
        <f t="shared" si="10"/>
        <v>11.28289841204337</v>
      </c>
      <c r="T19" s="12">
        <f t="shared" si="11"/>
        <v>9.9999999999999243E-4</v>
      </c>
      <c r="U19" s="13">
        <f t="shared" si="12"/>
        <v>6.7183733929156691E-31</v>
      </c>
      <c r="V19" s="5">
        <f t="shared" si="13"/>
        <v>0.51157194221395375</v>
      </c>
      <c r="W19" s="5">
        <f t="shared" si="14"/>
        <v>90.441873718361464</v>
      </c>
    </row>
    <row r="20" spans="1:23" x14ac:dyDescent="0.2">
      <c r="A20" s="8">
        <v>18</v>
      </c>
      <c r="B20" s="14">
        <v>185</v>
      </c>
      <c r="C20" s="14">
        <v>10.060000000000009</v>
      </c>
      <c r="D20" s="27">
        <v>9.9600000000000097</v>
      </c>
      <c r="E20" s="18">
        <v>10</v>
      </c>
      <c r="F20" s="20">
        <v>0</v>
      </c>
      <c r="G20" s="20">
        <v>0</v>
      </c>
      <c r="H20" s="9">
        <v>1.0231438844279075</v>
      </c>
      <c r="I20" s="9">
        <f t="shared" si="1"/>
        <v>11.083143884427917</v>
      </c>
      <c r="J20" s="9">
        <f t="shared" si="2"/>
        <v>20</v>
      </c>
      <c r="K20" s="10">
        <f>'Grid-BC'!$F$15</f>
        <v>1.4508717894715074E-2</v>
      </c>
      <c r="L20" s="9">
        <f t="shared" si="3"/>
        <v>10</v>
      </c>
      <c r="M20" s="9">
        <f t="shared" si="4"/>
        <v>10.231438844279076</v>
      </c>
      <c r="N20" s="9">
        <f t="shared" si="5"/>
        <v>12.046287768855816</v>
      </c>
      <c r="O20" s="9">
        <f t="shared" si="6"/>
        <v>0.84934371821426957</v>
      </c>
      <c r="P20" s="9">
        <f t="shared" si="7"/>
        <v>1.9547592772040103</v>
      </c>
      <c r="Q20" s="9">
        <f t="shared" si="8"/>
        <v>3.168129022978353</v>
      </c>
      <c r="R20" s="5">
        <f t="shared" si="9"/>
        <v>0.61700747129494882</v>
      </c>
      <c r="S20" s="10">
        <f t="shared" si="10"/>
        <v>11.277898412043369</v>
      </c>
      <c r="T20" s="12">
        <f t="shared" si="11"/>
        <v>9.9999999999999243E-4</v>
      </c>
      <c r="U20" s="13">
        <f t="shared" si="12"/>
        <v>6.7183733929156691E-31</v>
      </c>
      <c r="V20" s="5">
        <f t="shared" si="13"/>
        <v>0.51157194221395375</v>
      </c>
      <c r="W20" s="5">
        <f t="shared" si="14"/>
        <v>90.441873718361464</v>
      </c>
    </row>
    <row r="21" spans="1:23" x14ac:dyDescent="0.2">
      <c r="A21" s="8">
        <v>19</v>
      </c>
      <c r="B21" s="14">
        <v>190</v>
      </c>
      <c r="C21" s="14">
        <v>10.055000000000009</v>
      </c>
      <c r="D21" s="27">
        <v>9.955000000000009</v>
      </c>
      <c r="E21" s="18">
        <v>10</v>
      </c>
      <c r="F21" s="20">
        <v>0</v>
      </c>
      <c r="G21" s="20">
        <v>0</v>
      </c>
      <c r="H21" s="9">
        <v>1.0231438844279075</v>
      </c>
      <c r="I21" s="9">
        <f t="shared" si="1"/>
        <v>11.078143884427917</v>
      </c>
      <c r="J21" s="9">
        <f t="shared" si="2"/>
        <v>20</v>
      </c>
      <c r="K21" s="10">
        <f>'Grid-BC'!$F$15</f>
        <v>1.4508717894715074E-2</v>
      </c>
      <c r="L21" s="9">
        <f t="shared" si="3"/>
        <v>10</v>
      </c>
      <c r="M21" s="9">
        <f t="shared" si="4"/>
        <v>10.231438844279076</v>
      </c>
      <c r="N21" s="9">
        <f t="shared" si="5"/>
        <v>12.046287768855816</v>
      </c>
      <c r="O21" s="9">
        <f t="shared" si="6"/>
        <v>0.84934371821426957</v>
      </c>
      <c r="P21" s="9">
        <f t="shared" si="7"/>
        <v>1.9547592772040103</v>
      </c>
      <c r="Q21" s="9">
        <f t="shared" si="8"/>
        <v>3.168129022978353</v>
      </c>
      <c r="R21" s="5">
        <f t="shared" si="9"/>
        <v>0.61700747129494882</v>
      </c>
      <c r="S21" s="10">
        <f t="shared" si="10"/>
        <v>11.272898412043368</v>
      </c>
      <c r="T21" s="12">
        <f t="shared" si="11"/>
        <v>9.9999999999999243E-4</v>
      </c>
      <c r="U21" s="13">
        <f t="shared" si="12"/>
        <v>6.7183733929156691E-31</v>
      </c>
      <c r="V21" s="5">
        <f t="shared" si="13"/>
        <v>0.51157194221395375</v>
      </c>
      <c r="W21" s="5">
        <f t="shared" si="14"/>
        <v>90.441873718361464</v>
      </c>
    </row>
    <row r="22" spans="1:23" x14ac:dyDescent="0.2">
      <c r="A22" s="8">
        <v>20</v>
      </c>
      <c r="B22" s="14">
        <v>195</v>
      </c>
      <c r="C22" s="14">
        <v>10.050000000000008</v>
      </c>
      <c r="D22" s="10">
        <v>9.9500000000000082</v>
      </c>
      <c r="E22" s="8">
        <v>10</v>
      </c>
      <c r="F22" s="20">
        <v>0</v>
      </c>
      <c r="G22" s="20">
        <v>0</v>
      </c>
      <c r="H22" s="9">
        <v>1.0231438844279075</v>
      </c>
      <c r="I22" s="9">
        <f t="shared" si="1"/>
        <v>11.073143884427916</v>
      </c>
      <c r="J22" s="9">
        <f t="shared" si="2"/>
        <v>20</v>
      </c>
      <c r="K22" s="10">
        <f>'Grid-BC'!$F$15</f>
        <v>1.4508717894715074E-2</v>
      </c>
      <c r="L22" s="9">
        <f t="shared" si="3"/>
        <v>10</v>
      </c>
      <c r="M22" s="9">
        <f t="shared" si="4"/>
        <v>10.231438844279076</v>
      </c>
      <c r="N22" s="9">
        <f t="shared" si="5"/>
        <v>12.046287768855816</v>
      </c>
      <c r="O22" s="9">
        <f t="shared" si="6"/>
        <v>0.84934371821426957</v>
      </c>
      <c r="P22" s="9">
        <f t="shared" si="7"/>
        <v>1.9547592772040103</v>
      </c>
      <c r="Q22" s="9">
        <f t="shared" si="8"/>
        <v>3.168129022978353</v>
      </c>
      <c r="R22" s="5">
        <f t="shared" si="9"/>
        <v>0.61700747129494882</v>
      </c>
      <c r="S22" s="10">
        <f t="shared" si="10"/>
        <v>11.267898412043367</v>
      </c>
      <c r="T22" s="12">
        <f t="shared" si="11"/>
        <v>9.9999999999999243E-4</v>
      </c>
      <c r="U22" s="13">
        <f t="shared" si="12"/>
        <v>6.7183733929156691E-31</v>
      </c>
      <c r="V22" s="5">
        <f t="shared" si="13"/>
        <v>0.51157194221395375</v>
      </c>
      <c r="W22" s="5">
        <f t="shared" si="14"/>
        <v>90.441873718361464</v>
      </c>
    </row>
    <row r="23" spans="1:23" x14ac:dyDescent="0.2">
      <c r="A23" s="8">
        <v>21</v>
      </c>
      <c r="B23" s="14">
        <v>200</v>
      </c>
      <c r="C23" s="14">
        <v>10.045000000000007</v>
      </c>
      <c r="D23" s="10">
        <v>9.9450000000000074</v>
      </c>
      <c r="E23" s="8">
        <v>10</v>
      </c>
      <c r="F23" s="20">
        <v>0</v>
      </c>
      <c r="G23" s="20">
        <v>0</v>
      </c>
      <c r="H23" s="9">
        <v>1.0231438844279075</v>
      </c>
      <c r="I23" s="9">
        <f t="shared" si="1"/>
        <v>11.068143884427915</v>
      </c>
      <c r="J23" s="9">
        <f t="shared" si="2"/>
        <v>20</v>
      </c>
      <c r="K23" s="10">
        <f>'Grid-BC'!$F$15</f>
        <v>1.4508717894715074E-2</v>
      </c>
      <c r="L23" s="9">
        <f t="shared" si="3"/>
        <v>10</v>
      </c>
      <c r="M23" s="9">
        <f t="shared" si="4"/>
        <v>10.231438844279076</v>
      </c>
      <c r="N23" s="9">
        <f t="shared" si="5"/>
        <v>12.046287768855816</v>
      </c>
      <c r="O23" s="9">
        <f t="shared" si="6"/>
        <v>0.84934371821426957</v>
      </c>
      <c r="P23" s="9">
        <f t="shared" si="7"/>
        <v>1.9547592772040103</v>
      </c>
      <c r="Q23" s="9">
        <f t="shared" si="8"/>
        <v>3.168129022978353</v>
      </c>
      <c r="R23" s="5">
        <f t="shared" si="9"/>
        <v>0.61700747129494882</v>
      </c>
      <c r="S23" s="10">
        <f t="shared" si="10"/>
        <v>11.262898412043366</v>
      </c>
      <c r="T23" s="12">
        <f t="shared" si="11"/>
        <v>9.9999999999999243E-4</v>
      </c>
      <c r="U23" s="13">
        <f t="shared" si="12"/>
        <v>6.7183733929156691E-31</v>
      </c>
      <c r="V23" s="5">
        <f t="shared" si="13"/>
        <v>0.51157194221395375</v>
      </c>
      <c r="W23" s="5">
        <f t="shared" si="14"/>
        <v>90.441873718361464</v>
      </c>
    </row>
    <row r="24" spans="1:23" x14ac:dyDescent="0.2">
      <c r="A24" s="8">
        <v>22</v>
      </c>
      <c r="B24" s="14">
        <v>205</v>
      </c>
      <c r="C24" s="14">
        <v>10.040000000000006</v>
      </c>
      <c r="D24" s="10">
        <v>9.9400000000000066</v>
      </c>
      <c r="E24" s="8">
        <v>10</v>
      </c>
      <c r="F24" s="20">
        <v>0</v>
      </c>
      <c r="G24" s="20">
        <v>0</v>
      </c>
      <c r="H24" s="9">
        <v>1.0231438844279075</v>
      </c>
      <c r="I24" s="9">
        <f t="shared" si="1"/>
        <v>11.063143884427914</v>
      </c>
      <c r="J24" s="9">
        <f t="shared" si="2"/>
        <v>20</v>
      </c>
      <c r="K24" s="10">
        <f>'Grid-BC'!$F$15</f>
        <v>1.4508717894715074E-2</v>
      </c>
      <c r="L24" s="9">
        <f t="shared" si="3"/>
        <v>10</v>
      </c>
      <c r="M24" s="9">
        <f t="shared" si="4"/>
        <v>10.231438844279076</v>
      </c>
      <c r="N24" s="9">
        <f t="shared" si="5"/>
        <v>12.046287768855816</v>
      </c>
      <c r="O24" s="9">
        <f t="shared" si="6"/>
        <v>0.84934371821426957</v>
      </c>
      <c r="P24" s="9">
        <f t="shared" si="7"/>
        <v>1.9547592772040103</v>
      </c>
      <c r="Q24" s="9">
        <f t="shared" si="8"/>
        <v>3.168129022978353</v>
      </c>
      <c r="R24" s="5">
        <f t="shared" si="9"/>
        <v>0.61700747129494882</v>
      </c>
      <c r="S24" s="10">
        <f t="shared" si="10"/>
        <v>11.257898412043366</v>
      </c>
      <c r="T24" s="12">
        <f t="shared" si="11"/>
        <v>9.9999999999999243E-4</v>
      </c>
      <c r="U24" s="13">
        <f t="shared" si="12"/>
        <v>6.7183733929156691E-31</v>
      </c>
      <c r="V24" s="5">
        <f t="shared" si="13"/>
        <v>0.51157194221395375</v>
      </c>
      <c r="W24" s="5">
        <f t="shared" si="14"/>
        <v>90.441873718361464</v>
      </c>
    </row>
    <row r="25" spans="1:23" x14ac:dyDescent="0.2">
      <c r="A25" s="8">
        <v>23</v>
      </c>
      <c r="B25" s="14">
        <v>210</v>
      </c>
      <c r="C25" s="14">
        <v>10.035000000000005</v>
      </c>
      <c r="D25" s="27">
        <v>9.9350000000000058</v>
      </c>
      <c r="E25" s="18">
        <v>10</v>
      </c>
      <c r="F25" s="20">
        <v>0</v>
      </c>
      <c r="G25" s="20">
        <v>0</v>
      </c>
      <c r="H25" s="9">
        <v>1.0231438844279075</v>
      </c>
      <c r="I25" s="9">
        <f t="shared" si="1"/>
        <v>11.058143884427913</v>
      </c>
      <c r="J25" s="9">
        <f t="shared" si="2"/>
        <v>20</v>
      </c>
      <c r="K25" s="10">
        <f>'Grid-BC'!$F$15</f>
        <v>1.4508717894715074E-2</v>
      </c>
      <c r="L25" s="9">
        <f t="shared" si="3"/>
        <v>10</v>
      </c>
      <c r="M25" s="9">
        <f t="shared" si="4"/>
        <v>10.231438844279076</v>
      </c>
      <c r="N25" s="9">
        <f t="shared" si="5"/>
        <v>12.046287768855816</v>
      </c>
      <c r="O25" s="9">
        <f t="shared" si="6"/>
        <v>0.84934371821426957</v>
      </c>
      <c r="P25" s="9">
        <f t="shared" si="7"/>
        <v>1.9547592772040103</v>
      </c>
      <c r="Q25" s="9">
        <f t="shared" si="8"/>
        <v>3.168129022978353</v>
      </c>
      <c r="R25" s="5">
        <f t="shared" si="9"/>
        <v>0.61700747129494882</v>
      </c>
      <c r="S25" s="10">
        <f t="shared" si="10"/>
        <v>11.252898412043365</v>
      </c>
      <c r="T25" s="12">
        <f t="shared" si="11"/>
        <v>9.9999999999999243E-4</v>
      </c>
      <c r="U25" s="13">
        <f t="shared" si="12"/>
        <v>6.7183733929156691E-31</v>
      </c>
      <c r="V25" s="5">
        <f t="shared" si="13"/>
        <v>0.51157194221395375</v>
      </c>
      <c r="W25" s="5">
        <f t="shared" si="14"/>
        <v>90.441873718361464</v>
      </c>
    </row>
    <row r="26" spans="1:23" x14ac:dyDescent="0.2">
      <c r="A26" s="8">
        <v>24</v>
      </c>
      <c r="B26" s="14">
        <v>215</v>
      </c>
      <c r="C26" s="14">
        <v>10.030000000000005</v>
      </c>
      <c r="D26" s="27">
        <v>9.930000000000005</v>
      </c>
      <c r="E26" s="18">
        <v>10</v>
      </c>
      <c r="F26" s="20">
        <v>0</v>
      </c>
      <c r="G26" s="20">
        <v>0</v>
      </c>
      <c r="H26" s="9">
        <v>1.0231438844279075</v>
      </c>
      <c r="I26" s="9">
        <f t="shared" si="1"/>
        <v>11.053143884427913</v>
      </c>
      <c r="J26" s="9">
        <f t="shared" si="2"/>
        <v>20</v>
      </c>
      <c r="K26" s="10">
        <f>'Grid-BC'!$F$15</f>
        <v>1.4508717894715074E-2</v>
      </c>
      <c r="L26" s="9">
        <f t="shared" si="3"/>
        <v>10</v>
      </c>
      <c r="M26" s="9">
        <f t="shared" si="4"/>
        <v>10.231438844279076</v>
      </c>
      <c r="N26" s="9">
        <f t="shared" si="5"/>
        <v>12.046287768855816</v>
      </c>
      <c r="O26" s="9">
        <f t="shared" si="6"/>
        <v>0.84934371821426957</v>
      </c>
      <c r="P26" s="9">
        <f t="shared" si="7"/>
        <v>1.9547592772040103</v>
      </c>
      <c r="Q26" s="9">
        <f t="shared" si="8"/>
        <v>3.168129022978353</v>
      </c>
      <c r="R26" s="5">
        <f t="shared" si="9"/>
        <v>0.61700747129494882</v>
      </c>
      <c r="S26" s="10">
        <f t="shared" si="10"/>
        <v>11.247898412043364</v>
      </c>
      <c r="T26" s="12">
        <f t="shared" si="11"/>
        <v>9.9999999999999243E-4</v>
      </c>
      <c r="U26" s="13">
        <f t="shared" si="12"/>
        <v>6.7183733929156691E-31</v>
      </c>
      <c r="V26" s="5">
        <f t="shared" si="13"/>
        <v>0.51157194221395375</v>
      </c>
      <c r="W26" s="5">
        <f t="shared" si="14"/>
        <v>90.441873718361464</v>
      </c>
    </row>
    <row r="27" spans="1:23" x14ac:dyDescent="0.2">
      <c r="A27" s="8">
        <v>25</v>
      </c>
      <c r="B27" s="14">
        <v>220</v>
      </c>
      <c r="C27" s="14">
        <v>10.025000000000004</v>
      </c>
      <c r="D27" s="10">
        <v>9.9250000000000043</v>
      </c>
      <c r="E27" s="8">
        <v>10</v>
      </c>
      <c r="F27" s="20">
        <v>0</v>
      </c>
      <c r="G27" s="20">
        <v>0</v>
      </c>
      <c r="H27" s="9">
        <v>1.0231438844279075</v>
      </c>
      <c r="I27" s="9">
        <f t="shared" si="1"/>
        <v>11.048143884427912</v>
      </c>
      <c r="J27" s="9">
        <f t="shared" si="2"/>
        <v>20</v>
      </c>
      <c r="K27" s="10">
        <f>'Grid-BC'!$F$15</f>
        <v>1.4508717894715074E-2</v>
      </c>
      <c r="L27" s="9">
        <f t="shared" si="3"/>
        <v>10</v>
      </c>
      <c r="M27" s="9">
        <f t="shared" si="4"/>
        <v>10.231438844279076</v>
      </c>
      <c r="N27" s="9">
        <f t="shared" si="5"/>
        <v>12.046287768855816</v>
      </c>
      <c r="O27" s="9">
        <f t="shared" si="6"/>
        <v>0.84934371821426957</v>
      </c>
      <c r="P27" s="9">
        <f t="shared" si="7"/>
        <v>1.9547592772040103</v>
      </c>
      <c r="Q27" s="9">
        <f t="shared" si="8"/>
        <v>3.168129022978353</v>
      </c>
      <c r="R27" s="5">
        <f t="shared" si="9"/>
        <v>0.61700747129494882</v>
      </c>
      <c r="S27" s="10">
        <f t="shared" si="10"/>
        <v>11.242898412043363</v>
      </c>
      <c r="T27" s="12">
        <f t="shared" si="11"/>
        <v>9.9999999999999243E-4</v>
      </c>
      <c r="U27" s="13">
        <f t="shared" si="12"/>
        <v>6.7183733929156691E-31</v>
      </c>
      <c r="V27" s="5">
        <f t="shared" si="13"/>
        <v>0.51157194221395375</v>
      </c>
      <c r="W27" s="5">
        <f t="shared" si="14"/>
        <v>90.441873718361464</v>
      </c>
    </row>
    <row r="28" spans="1:23" x14ac:dyDescent="0.2">
      <c r="A28" s="8">
        <v>26</v>
      </c>
      <c r="B28" s="14">
        <v>225</v>
      </c>
      <c r="C28" s="14">
        <v>10.020000000000003</v>
      </c>
      <c r="D28" s="10">
        <v>9.9200000000000035</v>
      </c>
      <c r="E28" s="8">
        <v>10</v>
      </c>
      <c r="F28" s="20">
        <v>0</v>
      </c>
      <c r="G28" s="20">
        <v>0</v>
      </c>
      <c r="H28" s="9">
        <v>1.0231438844279075</v>
      </c>
      <c r="I28" s="9">
        <f t="shared" si="1"/>
        <v>11.043143884427911</v>
      </c>
      <c r="J28" s="9">
        <f t="shared" si="2"/>
        <v>20</v>
      </c>
      <c r="K28" s="10">
        <f>'Grid-BC'!$F$15</f>
        <v>1.4508717894715074E-2</v>
      </c>
      <c r="L28" s="9">
        <f t="shared" si="3"/>
        <v>10</v>
      </c>
      <c r="M28" s="9">
        <f t="shared" si="4"/>
        <v>10.231438844279076</v>
      </c>
      <c r="N28" s="9">
        <f t="shared" si="5"/>
        <v>12.046287768855816</v>
      </c>
      <c r="O28" s="9">
        <f t="shared" si="6"/>
        <v>0.84934371821426957</v>
      </c>
      <c r="P28" s="9">
        <f t="shared" si="7"/>
        <v>1.9547592772040103</v>
      </c>
      <c r="Q28" s="9">
        <f t="shared" si="8"/>
        <v>3.168129022978353</v>
      </c>
      <c r="R28" s="5">
        <f t="shared" si="9"/>
        <v>0.61700747129494882</v>
      </c>
      <c r="S28" s="10">
        <f t="shared" si="10"/>
        <v>11.237898412043362</v>
      </c>
      <c r="T28" s="12">
        <f t="shared" si="11"/>
        <v>9.9999999999999243E-4</v>
      </c>
      <c r="U28" s="13">
        <f t="shared" si="12"/>
        <v>6.7183733929156691E-31</v>
      </c>
      <c r="V28" s="5">
        <f t="shared" si="13"/>
        <v>0.51157194221395375</v>
      </c>
      <c r="W28" s="5">
        <f t="shared" si="14"/>
        <v>90.441873718361464</v>
      </c>
    </row>
    <row r="29" spans="1:23" x14ac:dyDescent="0.2">
      <c r="A29" s="8">
        <v>27</v>
      </c>
      <c r="B29" s="14">
        <v>230</v>
      </c>
      <c r="C29" s="14">
        <v>10.015000000000002</v>
      </c>
      <c r="D29" s="10">
        <v>9.9150000000000027</v>
      </c>
      <c r="E29" s="8">
        <v>10</v>
      </c>
      <c r="F29" s="20">
        <v>0</v>
      </c>
      <c r="G29" s="20">
        <v>0</v>
      </c>
      <c r="H29" s="9">
        <v>1.0231438844279075</v>
      </c>
      <c r="I29" s="9">
        <f t="shared" si="1"/>
        <v>11.03814388442791</v>
      </c>
      <c r="J29" s="9">
        <f t="shared" si="2"/>
        <v>20</v>
      </c>
      <c r="K29" s="10">
        <f>'Grid-BC'!$F$15</f>
        <v>1.4508717894715074E-2</v>
      </c>
      <c r="L29" s="9">
        <f t="shared" si="3"/>
        <v>10</v>
      </c>
      <c r="M29" s="9">
        <f t="shared" si="4"/>
        <v>10.231438844279076</v>
      </c>
      <c r="N29" s="9">
        <f t="shared" si="5"/>
        <v>12.046287768855816</v>
      </c>
      <c r="O29" s="9">
        <f t="shared" si="6"/>
        <v>0.84934371821426957</v>
      </c>
      <c r="P29" s="9">
        <f t="shared" si="7"/>
        <v>1.9547592772040103</v>
      </c>
      <c r="Q29" s="9">
        <f t="shared" si="8"/>
        <v>3.168129022978353</v>
      </c>
      <c r="R29" s="5">
        <f t="shared" si="9"/>
        <v>0.61700747129494882</v>
      </c>
      <c r="S29" s="10">
        <f t="shared" si="10"/>
        <v>11.232898412043362</v>
      </c>
      <c r="T29" s="12">
        <f t="shared" si="11"/>
        <v>9.9999999999999243E-4</v>
      </c>
      <c r="U29" s="13">
        <f t="shared" si="12"/>
        <v>6.7183733929156691E-31</v>
      </c>
      <c r="V29" s="5">
        <f t="shared" si="13"/>
        <v>0.51157194221395375</v>
      </c>
      <c r="W29" s="5">
        <f t="shared" si="14"/>
        <v>90.441873718361464</v>
      </c>
    </row>
    <row r="30" spans="1:23" x14ac:dyDescent="0.2">
      <c r="A30" s="8">
        <v>28</v>
      </c>
      <c r="B30" s="14">
        <v>235</v>
      </c>
      <c r="C30" s="14">
        <v>10.010000000000002</v>
      </c>
      <c r="D30" s="10">
        <v>9.9100000000000019</v>
      </c>
      <c r="E30" s="8">
        <v>10</v>
      </c>
      <c r="F30" s="20">
        <v>0</v>
      </c>
      <c r="G30" s="20">
        <v>0</v>
      </c>
      <c r="H30" s="9">
        <v>1.0231438844279075</v>
      </c>
      <c r="I30" s="9">
        <f t="shared" si="1"/>
        <v>11.033143884427909</v>
      </c>
      <c r="J30" s="9">
        <f t="shared" si="2"/>
        <v>20</v>
      </c>
      <c r="K30" s="10">
        <f>'Grid-BC'!$F$15</f>
        <v>1.4508717894715074E-2</v>
      </c>
      <c r="L30" s="9">
        <f t="shared" si="3"/>
        <v>10</v>
      </c>
      <c r="M30" s="9">
        <f t="shared" si="4"/>
        <v>10.231438844279076</v>
      </c>
      <c r="N30" s="9">
        <f t="shared" si="5"/>
        <v>12.046287768855816</v>
      </c>
      <c r="O30" s="9">
        <f t="shared" si="6"/>
        <v>0.84934371821426957</v>
      </c>
      <c r="P30" s="9">
        <f t="shared" si="7"/>
        <v>1.9547592772040103</v>
      </c>
      <c r="Q30" s="9">
        <f t="shared" si="8"/>
        <v>3.168129022978353</v>
      </c>
      <c r="R30" s="5">
        <f t="shared" si="9"/>
        <v>0.61700747129494882</v>
      </c>
      <c r="S30" s="10">
        <f t="shared" si="10"/>
        <v>11.227898412043361</v>
      </c>
      <c r="T30" s="12">
        <f t="shared" si="11"/>
        <v>9.9999999999999243E-4</v>
      </c>
      <c r="U30" s="13">
        <f t="shared" si="12"/>
        <v>6.7183733929156691E-31</v>
      </c>
      <c r="V30" s="5">
        <f t="shared" si="13"/>
        <v>0.51157194221395375</v>
      </c>
      <c r="W30" s="5">
        <f t="shared" si="14"/>
        <v>90.441873718361464</v>
      </c>
    </row>
    <row r="31" spans="1:23" x14ac:dyDescent="0.2">
      <c r="A31" s="8">
        <v>29</v>
      </c>
      <c r="B31" s="14">
        <v>240</v>
      </c>
      <c r="C31" s="14">
        <v>10.005000000000001</v>
      </c>
      <c r="D31" s="10">
        <v>9.9050000000000011</v>
      </c>
      <c r="E31" s="8">
        <v>10</v>
      </c>
      <c r="F31" s="20">
        <v>0</v>
      </c>
      <c r="G31" s="20">
        <v>0</v>
      </c>
      <c r="H31" s="9">
        <v>1.0231438844279075</v>
      </c>
      <c r="I31" s="9">
        <f t="shared" si="1"/>
        <v>11.028143884427909</v>
      </c>
      <c r="J31" s="9">
        <f t="shared" si="2"/>
        <v>20</v>
      </c>
      <c r="K31" s="10">
        <f>'Grid-BC'!$F$15</f>
        <v>1.4508717894715074E-2</v>
      </c>
      <c r="L31" s="9">
        <f t="shared" si="3"/>
        <v>10</v>
      </c>
      <c r="M31" s="9">
        <f t="shared" si="4"/>
        <v>10.231438844279076</v>
      </c>
      <c r="N31" s="9">
        <f t="shared" si="5"/>
        <v>12.046287768855816</v>
      </c>
      <c r="O31" s="9">
        <f t="shared" si="6"/>
        <v>0.84934371821426957</v>
      </c>
      <c r="P31" s="9">
        <f t="shared" si="7"/>
        <v>1.9547592772040103</v>
      </c>
      <c r="Q31" s="9">
        <f t="shared" si="8"/>
        <v>3.168129022978353</v>
      </c>
      <c r="R31" s="5">
        <f t="shared" si="9"/>
        <v>0.61700747129494882</v>
      </c>
      <c r="S31" s="10">
        <f t="shared" si="10"/>
        <v>11.22289841204336</v>
      </c>
      <c r="T31" s="12">
        <f t="shared" si="11"/>
        <v>9.9999999999999243E-4</v>
      </c>
      <c r="U31" s="13">
        <f t="shared" si="12"/>
        <v>6.7183733929156691E-31</v>
      </c>
      <c r="V31" s="5">
        <f t="shared" si="13"/>
        <v>0.51157194221395375</v>
      </c>
      <c r="W31" s="5">
        <f t="shared" si="14"/>
        <v>90.441873718361464</v>
      </c>
    </row>
    <row r="32" spans="1:23" x14ac:dyDescent="0.2">
      <c r="A32" s="8">
        <v>30</v>
      </c>
      <c r="B32" s="14">
        <v>245</v>
      </c>
      <c r="C32" s="14">
        <v>10</v>
      </c>
      <c r="D32" s="10">
        <v>9.9</v>
      </c>
      <c r="E32" s="8">
        <v>10</v>
      </c>
      <c r="F32" s="20">
        <v>0</v>
      </c>
      <c r="G32" s="20">
        <v>0</v>
      </c>
      <c r="H32" s="9">
        <v>1.0231438844279075</v>
      </c>
      <c r="I32" s="9">
        <f t="shared" si="1"/>
        <v>11.023143884427908</v>
      </c>
      <c r="J32" s="9">
        <f t="shared" si="2"/>
        <v>20</v>
      </c>
      <c r="K32" s="10">
        <f>'Grid-BC'!$F$15</f>
        <v>1.4508717894715074E-2</v>
      </c>
      <c r="L32" s="9">
        <f t="shared" si="3"/>
        <v>10</v>
      </c>
      <c r="M32" s="9">
        <f t="shared" si="4"/>
        <v>10.231438844279076</v>
      </c>
      <c r="N32" s="9">
        <f t="shared" si="5"/>
        <v>12.046287768855816</v>
      </c>
      <c r="O32" s="9">
        <f t="shared" si="6"/>
        <v>0.84934371821426957</v>
      </c>
      <c r="P32" s="9">
        <f t="shared" si="7"/>
        <v>1.9547592772040103</v>
      </c>
      <c r="Q32" s="9">
        <f t="shared" si="8"/>
        <v>3.168129022978353</v>
      </c>
      <c r="R32" s="5">
        <f t="shared" si="9"/>
        <v>0.61700747129494882</v>
      </c>
      <c r="S32" s="10">
        <f t="shared" si="10"/>
        <v>11.217898412043359</v>
      </c>
      <c r="T32" s="12">
        <f t="shared" si="11"/>
        <v>9.9999999999999243E-4</v>
      </c>
      <c r="U32" s="13"/>
      <c r="V32" s="5">
        <f t="shared" si="13"/>
        <v>0.51157194221395375</v>
      </c>
      <c r="W32" s="5">
        <f t="shared" si="14"/>
        <v>90.441873718361464</v>
      </c>
    </row>
    <row r="33" spans="1:29" x14ac:dyDescent="0.2">
      <c r="A33" s="8"/>
      <c r="B33" s="14"/>
      <c r="C33" s="14"/>
      <c r="D33" s="10"/>
      <c r="E33" s="8"/>
      <c r="F33" s="20"/>
      <c r="G33" s="20"/>
      <c r="H33" s="9"/>
      <c r="I33" s="9"/>
      <c r="J33" s="9"/>
      <c r="K33" s="10"/>
      <c r="L33" s="9"/>
      <c r="M33" s="9"/>
      <c r="N33" s="9"/>
      <c r="O33" s="9"/>
      <c r="P33" s="9"/>
      <c r="Q33" s="9"/>
      <c r="R33" s="5"/>
      <c r="S33" s="10"/>
      <c r="T33" s="12"/>
      <c r="U33" s="13"/>
      <c r="V33" s="5"/>
      <c r="W33" s="5"/>
    </row>
    <row r="34" spans="1:29" x14ac:dyDescent="0.2">
      <c r="A34" s="8"/>
      <c r="B34" s="14"/>
      <c r="C34" s="14"/>
      <c r="D34" s="10"/>
      <c r="E34" s="8"/>
      <c r="F34" s="20"/>
      <c r="G34" s="20"/>
      <c r="H34" s="9"/>
      <c r="I34" s="9"/>
      <c r="J34" s="9"/>
      <c r="K34" s="10"/>
      <c r="L34" s="9"/>
      <c r="M34" s="9"/>
      <c r="N34" s="9"/>
      <c r="O34" s="9"/>
      <c r="P34" s="9"/>
      <c r="Q34" s="9"/>
      <c r="R34" s="5"/>
      <c r="S34" s="10"/>
      <c r="T34" s="12"/>
      <c r="U34" s="13"/>
      <c r="V34" s="5"/>
      <c r="W34" s="5"/>
    </row>
    <row r="35" spans="1:29" x14ac:dyDescent="0.2">
      <c r="A35" s="8"/>
      <c r="B35" s="14"/>
      <c r="C35" s="14"/>
      <c r="D35" s="10"/>
      <c r="E35" s="8"/>
      <c r="F35" s="20"/>
      <c r="G35" s="20"/>
      <c r="H35" s="9"/>
      <c r="I35" s="9"/>
      <c r="J35" s="9"/>
      <c r="K35" s="10"/>
      <c r="L35" s="9"/>
      <c r="M35" s="9"/>
      <c r="N35" s="9"/>
      <c r="O35" s="9"/>
      <c r="P35" s="9"/>
      <c r="Q35" s="9"/>
      <c r="R35" s="5"/>
      <c r="S35" s="10"/>
      <c r="T35" s="12"/>
      <c r="U35" s="13"/>
      <c r="V35" s="5"/>
      <c r="W35" s="5"/>
    </row>
    <row r="36" spans="1:29" x14ac:dyDescent="0.2">
      <c r="A36" s="8"/>
      <c r="B36" s="14"/>
      <c r="C36" s="14"/>
      <c r="D36" s="27"/>
      <c r="E36" s="18"/>
      <c r="F36" s="20"/>
      <c r="G36" s="20"/>
      <c r="H36" s="9"/>
      <c r="I36" s="9"/>
      <c r="J36" s="9"/>
      <c r="K36" s="10"/>
      <c r="L36" s="9"/>
      <c r="M36" s="9"/>
      <c r="N36" s="9"/>
      <c r="O36" s="9"/>
      <c r="P36" s="9"/>
      <c r="Q36" s="9"/>
      <c r="R36" s="5"/>
      <c r="S36" s="10"/>
      <c r="T36" s="12"/>
      <c r="U36" s="13"/>
      <c r="V36" s="5"/>
      <c r="W36" s="5"/>
      <c r="Y36" s="5"/>
      <c r="Z36" s="10"/>
      <c r="AA36" s="9"/>
      <c r="AB36" s="5"/>
      <c r="AC36" s="11"/>
    </row>
    <row r="37" spans="1:29" x14ac:dyDescent="0.2">
      <c r="A37" s="8"/>
      <c r="B37" s="14"/>
      <c r="C37" s="14"/>
      <c r="D37" s="27"/>
      <c r="E37" s="18"/>
      <c r="F37" s="20"/>
      <c r="G37" s="20"/>
      <c r="H37" s="9"/>
      <c r="I37" s="9"/>
      <c r="J37" s="9"/>
      <c r="K37" s="10"/>
      <c r="L37" s="9"/>
      <c r="M37" s="9"/>
      <c r="N37" s="9"/>
      <c r="O37" s="9"/>
      <c r="P37" s="9"/>
      <c r="Q37" s="9"/>
      <c r="R37" s="5"/>
      <c r="S37" s="10"/>
      <c r="T37" s="12"/>
      <c r="U37" s="13"/>
      <c r="V37" s="5"/>
      <c r="W37" s="5"/>
      <c r="Y37" s="5"/>
      <c r="Z37" s="10"/>
      <c r="AA37" s="9"/>
      <c r="AB37" s="5"/>
      <c r="AC37" s="11"/>
    </row>
    <row r="38" spans="1:29" x14ac:dyDescent="0.2">
      <c r="A38" s="8"/>
      <c r="B38" s="14"/>
      <c r="C38" s="14"/>
      <c r="D38" s="10"/>
      <c r="E38" s="8"/>
      <c r="F38" s="20"/>
      <c r="G38" s="20"/>
      <c r="H38" s="9"/>
      <c r="I38" s="9"/>
      <c r="J38" s="9"/>
      <c r="K38" s="10"/>
      <c r="L38" s="9"/>
      <c r="M38" s="9"/>
      <c r="N38" s="9"/>
      <c r="O38" s="9"/>
      <c r="P38" s="9"/>
      <c r="Q38" s="9"/>
      <c r="R38" s="5"/>
      <c r="S38" s="10"/>
      <c r="T38" s="12"/>
      <c r="U38" s="13"/>
      <c r="V38" s="5"/>
      <c r="W38" s="5"/>
      <c r="Y38" s="5"/>
      <c r="Z38" s="10"/>
      <c r="AA38" s="9"/>
      <c r="AB38" s="5"/>
      <c r="AC38" s="11"/>
    </row>
    <row r="39" spans="1:29" x14ac:dyDescent="0.2">
      <c r="A39" s="8"/>
      <c r="B39" s="14"/>
      <c r="C39" s="14"/>
      <c r="D39" s="10"/>
      <c r="E39" s="8"/>
      <c r="F39" s="20"/>
      <c r="G39" s="20"/>
      <c r="H39" s="9"/>
      <c r="I39" s="9"/>
      <c r="J39" s="9"/>
      <c r="K39" s="10"/>
      <c r="L39" s="9"/>
      <c r="M39" s="9"/>
      <c r="N39" s="9"/>
      <c r="O39" s="9"/>
      <c r="P39" s="9"/>
      <c r="Q39" s="9"/>
      <c r="R39" s="5"/>
      <c r="S39" s="10"/>
      <c r="T39" s="12"/>
      <c r="U39" s="13"/>
      <c r="V39" s="5"/>
      <c r="W39" s="5"/>
      <c r="Y39" s="5"/>
      <c r="Z39" s="10"/>
      <c r="AA39" s="9"/>
      <c r="AB39" s="5"/>
      <c r="AC39" s="11"/>
    </row>
    <row r="40" spans="1:29" x14ac:dyDescent="0.2">
      <c r="A40" s="8"/>
      <c r="B40" s="14"/>
      <c r="C40" s="14"/>
      <c r="D40" s="10"/>
      <c r="E40" s="8"/>
      <c r="F40" s="20"/>
      <c r="G40" s="20"/>
      <c r="H40" s="9"/>
      <c r="I40" s="9"/>
      <c r="J40" s="9"/>
      <c r="K40" s="10"/>
      <c r="L40" s="9"/>
      <c r="M40" s="9"/>
      <c r="N40" s="9"/>
      <c r="O40" s="9"/>
      <c r="P40" s="9"/>
      <c r="Q40" s="9"/>
      <c r="R40" s="5"/>
      <c r="S40" s="10"/>
      <c r="T40" s="12"/>
      <c r="U40" s="13"/>
      <c r="V40" s="5"/>
      <c r="W40" s="5"/>
      <c r="Y40" s="5"/>
      <c r="Z40" s="10"/>
      <c r="AA40" s="9"/>
      <c r="AB40" s="5"/>
      <c r="AC40" s="11"/>
    </row>
    <row r="41" spans="1:29" x14ac:dyDescent="0.2">
      <c r="A41" s="8"/>
      <c r="B41" s="14"/>
      <c r="C41" s="14"/>
      <c r="D41" s="10"/>
      <c r="E41" s="8"/>
      <c r="F41" s="20"/>
      <c r="G41" s="20"/>
      <c r="H41" s="9"/>
      <c r="I41" s="9"/>
      <c r="J41" s="9"/>
      <c r="K41" s="10"/>
      <c r="L41" s="9"/>
      <c r="M41" s="9"/>
      <c r="N41" s="9"/>
      <c r="O41" s="9"/>
      <c r="P41" s="9"/>
      <c r="Q41" s="9"/>
      <c r="R41" s="5"/>
      <c r="S41" s="10"/>
      <c r="T41" s="12"/>
      <c r="U41" s="13"/>
      <c r="V41" s="5"/>
      <c r="W41" s="5"/>
      <c r="Y41" s="5"/>
      <c r="Z41" s="10"/>
      <c r="AA41" s="9"/>
      <c r="AB41" s="5"/>
      <c r="AC41" s="11"/>
    </row>
    <row r="42" spans="1:29" x14ac:dyDescent="0.2">
      <c r="A42" s="8"/>
      <c r="B42" s="14"/>
      <c r="C42" s="14"/>
      <c r="D42" s="10"/>
      <c r="E42" s="8"/>
      <c r="F42" s="20"/>
      <c r="G42" s="20"/>
      <c r="H42" s="9"/>
      <c r="I42" s="9"/>
      <c r="J42" s="9"/>
      <c r="K42" s="10"/>
      <c r="L42" s="9"/>
      <c r="M42" s="9"/>
      <c r="N42" s="9"/>
      <c r="O42" s="9"/>
      <c r="P42" s="9"/>
      <c r="Q42" s="9"/>
      <c r="R42" s="5"/>
      <c r="S42" s="10"/>
      <c r="T42" s="12"/>
      <c r="U42" s="13"/>
      <c r="V42" s="5"/>
      <c r="W42" s="5"/>
      <c r="Y42" s="5"/>
      <c r="Z42" s="10"/>
      <c r="AA42" s="9"/>
      <c r="AB42" s="5"/>
      <c r="AC42" s="11"/>
    </row>
    <row r="43" spans="1:29" x14ac:dyDescent="0.2">
      <c r="A43" s="8"/>
      <c r="B43" s="14"/>
      <c r="C43" s="14"/>
      <c r="D43" s="10"/>
      <c r="E43" s="8"/>
      <c r="F43" s="20"/>
      <c r="G43" s="20"/>
      <c r="H43" s="9"/>
      <c r="I43" s="9"/>
      <c r="J43" s="9"/>
      <c r="K43" s="10"/>
      <c r="L43" s="9"/>
      <c r="M43" s="9"/>
      <c r="N43" s="9"/>
      <c r="O43" s="9"/>
      <c r="P43" s="9"/>
      <c r="Q43" s="9"/>
      <c r="R43" s="5"/>
      <c r="S43" s="10"/>
      <c r="T43" s="12"/>
      <c r="U43" s="13"/>
      <c r="V43" s="5"/>
      <c r="W43" s="5"/>
      <c r="Y43" s="5"/>
      <c r="Z43" s="10"/>
      <c r="AA43" s="9"/>
      <c r="AB43" s="5"/>
      <c r="AC43" s="11"/>
    </row>
    <row r="44" spans="1:29" x14ac:dyDescent="0.2">
      <c r="A44" s="8"/>
      <c r="B44" s="14"/>
      <c r="C44" s="14"/>
      <c r="D44" s="10"/>
      <c r="E44" s="8"/>
      <c r="F44" s="20"/>
      <c r="G44" s="20"/>
      <c r="H44" s="9"/>
      <c r="I44" s="9"/>
      <c r="J44" s="9"/>
      <c r="K44" s="10"/>
      <c r="L44" s="9"/>
      <c r="M44" s="9"/>
      <c r="N44" s="9"/>
      <c r="O44" s="9"/>
      <c r="P44" s="9"/>
      <c r="Q44" s="9"/>
      <c r="R44" s="5"/>
      <c r="S44" s="10"/>
      <c r="T44" s="12"/>
      <c r="U44" s="13"/>
      <c r="V44" s="5"/>
      <c r="W44" s="5"/>
      <c r="Y44" s="5"/>
      <c r="Z44" s="10"/>
      <c r="AA44" s="9"/>
      <c r="AB44" s="5"/>
      <c r="AC44" s="11"/>
    </row>
    <row r="45" spans="1:29" x14ac:dyDescent="0.2">
      <c r="A45" s="8"/>
      <c r="B45" s="14"/>
      <c r="C45" s="14"/>
      <c r="D45" s="10"/>
      <c r="E45" s="8"/>
      <c r="F45" s="20"/>
      <c r="G45" s="20"/>
      <c r="H45" s="9"/>
      <c r="I45" s="9"/>
      <c r="J45" s="9"/>
      <c r="K45" s="10"/>
      <c r="L45" s="9"/>
      <c r="M45" s="9"/>
      <c r="N45" s="9"/>
      <c r="O45" s="9"/>
      <c r="P45" s="9"/>
      <c r="Q45" s="9"/>
      <c r="R45" s="5"/>
      <c r="S45" s="10"/>
      <c r="T45" s="12"/>
      <c r="U45" s="13"/>
      <c r="V45" s="5"/>
      <c r="W45" s="5"/>
      <c r="Y45" s="5"/>
      <c r="Z45" s="10"/>
      <c r="AA45" s="9"/>
      <c r="AB45" s="5"/>
      <c r="AC45" s="11"/>
    </row>
    <row r="46" spans="1:29" x14ac:dyDescent="0.2">
      <c r="A46" s="8"/>
      <c r="B46" s="14"/>
      <c r="C46" s="14"/>
      <c r="D46" s="10"/>
      <c r="E46" s="8"/>
      <c r="F46" s="20"/>
      <c r="G46" s="20"/>
      <c r="H46" s="9"/>
      <c r="I46" s="9"/>
      <c r="J46" s="9"/>
      <c r="K46" s="10"/>
      <c r="L46" s="9"/>
      <c r="M46" s="9"/>
      <c r="N46" s="9"/>
      <c r="O46" s="9"/>
      <c r="P46" s="9"/>
      <c r="Q46" s="9"/>
      <c r="R46" s="5"/>
      <c r="S46" s="10"/>
      <c r="T46" s="12"/>
      <c r="U46" s="13"/>
      <c r="V46" s="5"/>
      <c r="W46" s="5"/>
      <c r="Y46" s="5"/>
      <c r="Z46" s="10"/>
      <c r="AA46" s="9"/>
      <c r="AB46" s="5"/>
      <c r="AC46" s="11"/>
    </row>
    <row r="47" spans="1:29" x14ac:dyDescent="0.2">
      <c r="A47" s="8"/>
      <c r="B47" s="14"/>
      <c r="C47" s="14"/>
      <c r="D47" s="10"/>
      <c r="E47" s="8"/>
      <c r="F47" s="20"/>
      <c r="G47" s="20"/>
      <c r="H47" s="9"/>
      <c r="I47" s="9"/>
      <c r="J47" s="9"/>
      <c r="K47" s="10"/>
      <c r="L47" s="9"/>
      <c r="M47" s="9"/>
      <c r="N47" s="9"/>
      <c r="O47" s="9"/>
      <c r="P47" s="9"/>
      <c r="Q47" s="9"/>
      <c r="R47" s="5"/>
      <c r="S47" s="10"/>
      <c r="T47" s="12"/>
      <c r="U47" s="13"/>
      <c r="V47" s="5"/>
      <c r="W47" s="5"/>
      <c r="Y47" s="5"/>
      <c r="Z47" s="10"/>
      <c r="AA47" s="9"/>
      <c r="AB47" s="5"/>
      <c r="AC47" s="11"/>
    </row>
    <row r="48" spans="1:29" s="6" customFormat="1" x14ac:dyDescent="0.2">
      <c r="A48" s="8"/>
      <c r="B48" s="14"/>
      <c r="C48" s="14"/>
      <c r="D48" s="10"/>
      <c r="E48" s="8"/>
      <c r="F48" s="20"/>
      <c r="G48" s="20"/>
      <c r="H48" s="9"/>
      <c r="I48" s="9"/>
      <c r="J48" s="9"/>
      <c r="K48" s="10"/>
      <c r="L48" s="9"/>
      <c r="M48" s="9"/>
      <c r="N48" s="9"/>
      <c r="O48" s="9"/>
      <c r="P48" s="9"/>
      <c r="Q48" s="9"/>
      <c r="R48" s="5"/>
      <c r="S48" s="10"/>
      <c r="T48" s="12"/>
      <c r="U48" s="13"/>
      <c r="V48" s="5"/>
      <c r="W48" s="5"/>
      <c r="Y48" s="5"/>
      <c r="Z48" s="10"/>
      <c r="AA48" s="9"/>
      <c r="AB48" s="5"/>
      <c r="AC48" s="11"/>
    </row>
    <row r="49" spans="1:29" s="6" customFormat="1" x14ac:dyDescent="0.2">
      <c r="A49" s="8"/>
      <c r="B49" s="14"/>
      <c r="C49" s="14"/>
      <c r="D49" s="10"/>
      <c r="E49" s="8"/>
      <c r="F49" s="20"/>
      <c r="G49" s="20"/>
      <c r="H49" s="9"/>
      <c r="I49" s="9"/>
      <c r="J49" s="9"/>
      <c r="K49" s="10"/>
      <c r="L49" s="9"/>
      <c r="M49" s="9"/>
      <c r="N49" s="9"/>
      <c r="O49" s="9"/>
      <c r="P49" s="9"/>
      <c r="Q49" s="9"/>
      <c r="R49" s="5"/>
      <c r="S49" s="10"/>
      <c r="T49" s="12"/>
      <c r="U49" s="13"/>
      <c r="V49" s="5"/>
      <c r="W49" s="5"/>
      <c r="Y49" s="5"/>
      <c r="Z49" s="10"/>
      <c r="AA49" s="9"/>
      <c r="AB49" s="5"/>
      <c r="AC49" s="11"/>
    </row>
    <row r="50" spans="1:29" x14ac:dyDescent="0.2">
      <c r="A50" s="8"/>
      <c r="B50" s="14"/>
      <c r="C50" s="14"/>
      <c r="D50" s="10"/>
      <c r="E50" s="8"/>
      <c r="F50" s="20"/>
      <c r="G50" s="20"/>
      <c r="H50" s="9"/>
      <c r="I50" s="9"/>
      <c r="J50" s="9"/>
      <c r="K50" s="10"/>
      <c r="L50" s="9"/>
      <c r="M50" s="9"/>
      <c r="N50" s="9"/>
      <c r="O50" s="9"/>
      <c r="P50" s="9"/>
      <c r="Q50" s="9"/>
      <c r="R50" s="5"/>
      <c r="S50" s="10"/>
      <c r="T50" s="12"/>
      <c r="U50" s="13"/>
      <c r="V50" s="5"/>
      <c r="W50" s="5"/>
      <c r="Y50" s="5"/>
      <c r="Z50" s="10"/>
      <c r="AA50" s="9"/>
      <c r="AB50" s="5"/>
      <c r="AC50" s="11"/>
    </row>
    <row r="51" spans="1:29" x14ac:dyDescent="0.2">
      <c r="A51" s="8"/>
      <c r="B51" s="14"/>
      <c r="C51" s="14"/>
      <c r="D51" s="10"/>
      <c r="E51" s="8"/>
      <c r="F51" s="20"/>
      <c r="G51" s="20"/>
      <c r="H51" s="9"/>
      <c r="I51" s="9"/>
      <c r="J51" s="9"/>
      <c r="K51" s="10"/>
      <c r="L51" s="9"/>
      <c r="M51" s="9"/>
      <c r="N51" s="9"/>
      <c r="O51" s="9"/>
      <c r="P51" s="9"/>
      <c r="Q51" s="9"/>
      <c r="R51" s="5"/>
      <c r="S51" s="10"/>
      <c r="T51" s="12"/>
      <c r="U51" s="13"/>
      <c r="V51" s="5"/>
      <c r="W51" s="5"/>
      <c r="Y51" s="5"/>
      <c r="Z51" s="10"/>
      <c r="AA51" s="9"/>
      <c r="AB51" s="5"/>
      <c r="AC51" s="11"/>
    </row>
    <row r="52" spans="1:29" x14ac:dyDescent="0.2">
      <c r="A52" s="8"/>
      <c r="B52" s="14"/>
      <c r="C52" s="14"/>
      <c r="D52" s="10"/>
      <c r="E52" s="8"/>
      <c r="F52" s="20"/>
      <c r="G52" s="20"/>
      <c r="H52" s="9"/>
      <c r="I52" s="9"/>
      <c r="J52" s="9"/>
      <c r="K52" s="10"/>
      <c r="L52" s="9"/>
      <c r="M52" s="9"/>
      <c r="N52" s="9"/>
      <c r="O52" s="9"/>
      <c r="P52" s="9"/>
      <c r="Q52" s="9"/>
      <c r="R52" s="5"/>
      <c r="S52" s="10"/>
      <c r="T52" s="12"/>
      <c r="U52" s="13"/>
      <c r="V52" s="5"/>
      <c r="W52" s="5"/>
      <c r="X52" s="10"/>
      <c r="Y52" s="5"/>
      <c r="Z52" s="10"/>
      <c r="AA52" s="9"/>
      <c r="AB52" s="5"/>
      <c r="AC52" s="11"/>
    </row>
    <row r="53" spans="1:29" x14ac:dyDescent="0.2">
      <c r="A53" s="8"/>
      <c r="B53" s="14"/>
      <c r="C53" s="14"/>
      <c r="D53" s="27"/>
      <c r="E53" s="18"/>
      <c r="F53" s="20"/>
      <c r="G53" s="20"/>
      <c r="H53" s="9"/>
      <c r="I53" s="9"/>
      <c r="J53" s="9"/>
      <c r="K53" s="10"/>
      <c r="L53" s="9"/>
      <c r="M53" s="9"/>
      <c r="N53" s="9"/>
      <c r="O53" s="9"/>
      <c r="P53" s="9"/>
      <c r="Q53" s="9"/>
      <c r="R53" s="5"/>
      <c r="S53" s="10"/>
      <c r="T53" s="12"/>
      <c r="U53" s="13"/>
      <c r="V53" s="5"/>
      <c r="W53" s="5"/>
      <c r="X53" s="10"/>
      <c r="Y53" s="5"/>
      <c r="Z53" s="10"/>
      <c r="AA53" s="9"/>
      <c r="AB53" s="5"/>
      <c r="AC53" s="11"/>
    </row>
    <row r="54" spans="1:29" x14ac:dyDescent="0.2">
      <c r="A54" s="8"/>
      <c r="B54" s="14"/>
      <c r="C54" s="14"/>
      <c r="D54" s="27"/>
      <c r="E54" s="18"/>
      <c r="F54" s="20"/>
      <c r="G54" s="20"/>
      <c r="H54" s="9"/>
      <c r="I54" s="9"/>
      <c r="J54" s="9"/>
      <c r="K54" s="10"/>
      <c r="L54" s="9"/>
      <c r="M54" s="9"/>
      <c r="N54" s="9"/>
      <c r="O54" s="9"/>
      <c r="P54" s="9"/>
      <c r="Q54" s="9"/>
      <c r="R54" s="5"/>
      <c r="S54" s="10"/>
      <c r="T54" s="12"/>
      <c r="U54" s="13"/>
      <c r="V54" s="5"/>
      <c r="W54" s="5"/>
      <c r="X54" s="10"/>
      <c r="Y54" s="5"/>
      <c r="Z54" s="10"/>
      <c r="AA54" s="9"/>
      <c r="AB54" s="5"/>
      <c r="AC54" s="11"/>
    </row>
    <row r="55" spans="1:29" x14ac:dyDescent="0.2">
      <c r="A55" s="8"/>
      <c r="B55" s="14"/>
      <c r="C55" s="14"/>
      <c r="D55" s="10"/>
      <c r="E55" s="8"/>
      <c r="F55" s="20"/>
      <c r="G55" s="20"/>
      <c r="H55" s="9"/>
      <c r="I55" s="9"/>
      <c r="J55" s="9"/>
      <c r="K55" s="10"/>
      <c r="L55" s="9"/>
      <c r="M55" s="9"/>
      <c r="N55" s="9"/>
      <c r="O55" s="9"/>
      <c r="P55" s="9"/>
      <c r="Q55" s="9"/>
      <c r="R55" s="5"/>
      <c r="S55" s="10"/>
      <c r="T55" s="12"/>
      <c r="U55" s="13"/>
      <c r="V55" s="5"/>
      <c r="W55" s="5"/>
      <c r="X55" s="10"/>
      <c r="Y55" s="5"/>
      <c r="Z55" s="10"/>
      <c r="AA55" s="9"/>
      <c r="AB55" s="5"/>
      <c r="AC55" s="11"/>
    </row>
    <row r="56" spans="1:29" x14ac:dyDescent="0.2">
      <c r="A56" s="8"/>
      <c r="B56" s="14"/>
      <c r="C56" s="14"/>
      <c r="D56" s="10"/>
      <c r="E56" s="8"/>
      <c r="F56" s="20"/>
      <c r="G56" s="20"/>
      <c r="H56" s="9"/>
      <c r="I56" s="9"/>
      <c r="J56" s="9"/>
      <c r="K56" s="10"/>
      <c r="L56" s="9"/>
      <c r="M56" s="9"/>
      <c r="N56" s="9"/>
      <c r="O56" s="9"/>
      <c r="P56" s="9"/>
      <c r="Q56" s="9"/>
      <c r="R56" s="5"/>
      <c r="S56" s="10"/>
      <c r="T56" s="12"/>
      <c r="U56" s="13"/>
      <c r="V56" s="5"/>
      <c r="W56" s="5"/>
      <c r="X56" s="10"/>
      <c r="Y56" s="5"/>
      <c r="Z56" s="10"/>
      <c r="AA56" s="9"/>
      <c r="AB56" s="5"/>
      <c r="AC56" s="11"/>
    </row>
    <row r="57" spans="1:29" x14ac:dyDescent="0.2">
      <c r="A57" s="8"/>
      <c r="B57" s="14"/>
      <c r="C57" s="14"/>
      <c r="D57" s="10"/>
      <c r="E57" s="8"/>
      <c r="F57" s="20"/>
      <c r="G57" s="20"/>
      <c r="H57" s="9"/>
      <c r="I57" s="9"/>
      <c r="J57" s="9"/>
      <c r="K57" s="10"/>
      <c r="L57" s="9"/>
      <c r="M57" s="9"/>
      <c r="N57" s="9"/>
      <c r="O57" s="9"/>
      <c r="P57" s="9"/>
      <c r="Q57" s="9"/>
      <c r="R57" s="5"/>
      <c r="S57" s="10"/>
      <c r="T57" s="12"/>
      <c r="U57" s="13"/>
      <c r="V57" s="5"/>
      <c r="W57" s="5"/>
      <c r="X57" s="10"/>
      <c r="Y57" s="5"/>
      <c r="Z57" s="10"/>
      <c r="AA57" s="9"/>
      <c r="AB57" s="5"/>
      <c r="AC57" s="11"/>
    </row>
    <row r="58" spans="1:29" x14ac:dyDescent="0.2">
      <c r="A58" s="8"/>
      <c r="B58" s="14"/>
      <c r="C58" s="14"/>
      <c r="D58" s="10"/>
      <c r="E58" s="8"/>
      <c r="F58" s="20"/>
      <c r="G58" s="20"/>
      <c r="H58" s="9"/>
      <c r="I58" s="9"/>
      <c r="J58" s="9"/>
      <c r="K58" s="10"/>
      <c r="L58" s="9"/>
      <c r="M58" s="9"/>
      <c r="N58" s="9"/>
      <c r="O58" s="9"/>
      <c r="P58" s="9"/>
      <c r="Q58" s="9"/>
      <c r="R58" s="5"/>
      <c r="S58" s="10"/>
      <c r="T58" s="12"/>
      <c r="U58" s="13"/>
      <c r="V58" s="5"/>
      <c r="W58" s="5"/>
      <c r="X58" s="10"/>
      <c r="Y58" s="5"/>
      <c r="Z58" s="10"/>
      <c r="AA58" s="9"/>
      <c r="AB58" s="5"/>
      <c r="AC58" s="11"/>
    </row>
    <row r="59" spans="1:29" x14ac:dyDescent="0.2">
      <c r="A59" s="8"/>
      <c r="B59" s="14"/>
      <c r="C59" s="14"/>
      <c r="D59" s="10"/>
      <c r="E59" s="8"/>
      <c r="F59" s="20"/>
      <c r="G59" s="20"/>
      <c r="H59" s="9"/>
      <c r="I59" s="9"/>
      <c r="J59" s="9"/>
      <c r="K59" s="10"/>
      <c r="L59" s="9"/>
      <c r="M59" s="9"/>
      <c r="N59" s="9"/>
      <c r="O59" s="9"/>
      <c r="P59" s="9"/>
      <c r="Q59" s="9"/>
      <c r="R59" s="5"/>
      <c r="S59" s="10"/>
      <c r="T59" s="12"/>
      <c r="U59" s="13"/>
      <c r="V59" s="5"/>
      <c r="W59" s="5"/>
      <c r="X59" s="10"/>
      <c r="Y59" s="5"/>
      <c r="Z59" s="10"/>
      <c r="AA59" s="9"/>
      <c r="AB59" s="5"/>
      <c r="AC59" s="11"/>
    </row>
    <row r="60" spans="1:29" x14ac:dyDescent="0.2">
      <c r="A60" s="8"/>
      <c r="B60" s="14"/>
      <c r="C60" s="14"/>
      <c r="D60" s="10"/>
      <c r="E60" s="8"/>
      <c r="F60" s="20"/>
      <c r="G60" s="20"/>
      <c r="H60" s="9"/>
      <c r="I60" s="9"/>
      <c r="J60" s="9"/>
      <c r="K60" s="10"/>
      <c r="L60" s="9"/>
      <c r="M60" s="9"/>
      <c r="N60" s="9"/>
      <c r="O60" s="9"/>
      <c r="P60" s="9"/>
      <c r="Q60" s="9"/>
      <c r="R60" s="5"/>
      <c r="S60" s="10"/>
      <c r="T60" s="12"/>
      <c r="U60" s="13"/>
      <c r="V60" s="5"/>
      <c r="W60" s="5"/>
      <c r="X60" s="10"/>
      <c r="Y60" s="5"/>
      <c r="Z60" s="10"/>
      <c r="AA60" s="9"/>
      <c r="AB60" s="5"/>
      <c r="AC60" s="11"/>
    </row>
    <row r="61" spans="1:29" x14ac:dyDescent="0.2">
      <c r="A61" s="8"/>
      <c r="B61" s="14"/>
      <c r="C61" s="14"/>
      <c r="D61" s="8"/>
      <c r="E61" s="8"/>
      <c r="F61" s="20"/>
      <c r="G61" s="20"/>
      <c r="H61" s="9"/>
      <c r="I61" s="9"/>
      <c r="J61" s="9"/>
      <c r="K61" s="9"/>
      <c r="L61" s="9"/>
      <c r="M61" s="9"/>
      <c r="N61" s="9"/>
      <c r="O61" s="9"/>
      <c r="P61" s="9"/>
      <c r="Q61" s="9"/>
      <c r="R61" s="5"/>
      <c r="S61" s="10"/>
      <c r="T61" s="11"/>
      <c r="U61" s="13"/>
      <c r="V61" s="5"/>
      <c r="W61" s="5"/>
      <c r="X61" s="10"/>
      <c r="Y61" s="5"/>
      <c r="Z61" s="10"/>
      <c r="AA61" s="9"/>
      <c r="AB61" s="5"/>
      <c r="AC61" s="11"/>
    </row>
    <row r="62" spans="1:29" x14ac:dyDescent="0.2">
      <c r="A62" s="8"/>
      <c r="B62" s="14"/>
      <c r="C62" s="14"/>
      <c r="D62" s="8"/>
      <c r="E62" s="8"/>
      <c r="F62" s="20"/>
      <c r="G62" s="20"/>
      <c r="H62" s="9"/>
      <c r="I62" s="9"/>
      <c r="J62" s="9"/>
      <c r="K62" s="9"/>
      <c r="L62" s="9"/>
      <c r="M62" s="9"/>
      <c r="N62" s="9"/>
      <c r="O62" s="9"/>
      <c r="P62" s="9"/>
      <c r="Q62" s="9"/>
      <c r="R62" s="5"/>
      <c r="S62" s="10"/>
      <c r="T62" s="11"/>
      <c r="U62" s="13"/>
      <c r="V62" s="5"/>
      <c r="W62" s="5"/>
      <c r="X62" s="10"/>
      <c r="Y62" s="5"/>
      <c r="Z62" s="10"/>
      <c r="AA62" s="9"/>
      <c r="AB62" s="5"/>
      <c r="AC62" s="11"/>
    </row>
    <row r="63" spans="1:29" x14ac:dyDescent="0.2">
      <c r="A63" s="8"/>
      <c r="B63" s="14"/>
      <c r="C63" s="14"/>
      <c r="D63" s="8"/>
      <c r="E63" s="8"/>
      <c r="F63" s="20"/>
      <c r="G63" s="20"/>
      <c r="H63" s="9"/>
      <c r="I63" s="9"/>
      <c r="J63" s="9"/>
      <c r="K63" s="9"/>
      <c r="L63" s="9"/>
      <c r="M63" s="9"/>
      <c r="N63" s="9"/>
      <c r="O63" s="9"/>
      <c r="P63" s="9"/>
      <c r="Q63" s="9"/>
      <c r="R63" s="5"/>
      <c r="S63" s="10"/>
      <c r="T63" s="11"/>
      <c r="U63" s="13"/>
      <c r="V63" s="5"/>
      <c r="W63" s="5"/>
      <c r="X63" s="10"/>
      <c r="Y63" s="5"/>
      <c r="Z63" s="10"/>
      <c r="AA63" s="9"/>
      <c r="AB63" s="5"/>
      <c r="AC63" s="11"/>
    </row>
    <row r="64" spans="1:29" x14ac:dyDescent="0.2">
      <c r="A64" s="8"/>
      <c r="B64" s="14"/>
      <c r="C64" s="14"/>
      <c r="D64" s="8"/>
      <c r="E64" s="8"/>
      <c r="F64" s="20"/>
      <c r="G64" s="20"/>
      <c r="H64" s="9"/>
      <c r="I64" s="9"/>
      <c r="J64" s="9"/>
      <c r="K64" s="9"/>
      <c r="L64" s="9"/>
      <c r="M64" s="9"/>
      <c r="N64" s="9"/>
      <c r="O64" s="9"/>
      <c r="P64" s="9"/>
      <c r="Q64" s="9"/>
      <c r="R64" s="5"/>
      <c r="S64" s="10"/>
      <c r="T64" s="11"/>
      <c r="U64" s="13"/>
      <c r="V64" s="5"/>
      <c r="W64" s="5"/>
      <c r="X64" s="10"/>
      <c r="Y64" s="5"/>
      <c r="Z64" s="10"/>
      <c r="AA64" s="9"/>
      <c r="AB64" s="5"/>
      <c r="AC64" s="11"/>
    </row>
    <row r="65" spans="1:29" x14ac:dyDescent="0.2">
      <c r="A65" s="8"/>
      <c r="B65" s="14"/>
      <c r="C65" s="14"/>
      <c r="D65" s="8"/>
      <c r="E65" s="8"/>
      <c r="F65" s="20"/>
      <c r="G65" s="20"/>
      <c r="H65" s="9"/>
      <c r="I65" s="9"/>
      <c r="J65" s="9"/>
      <c r="K65" s="9"/>
      <c r="L65" s="9"/>
      <c r="M65" s="9"/>
      <c r="N65" s="9"/>
      <c r="O65" s="9"/>
      <c r="P65" s="9"/>
      <c r="Q65" s="9"/>
      <c r="R65" s="5"/>
      <c r="S65" s="10"/>
      <c r="T65" s="11"/>
      <c r="U65" s="13"/>
      <c r="V65" s="5"/>
      <c r="W65" s="5"/>
      <c r="X65" s="10"/>
      <c r="Y65" s="5"/>
      <c r="Z65" s="10"/>
      <c r="AA65" s="9"/>
      <c r="AB65" s="5"/>
      <c r="AC65" s="11"/>
    </row>
    <row r="66" spans="1:29" x14ac:dyDescent="0.2">
      <c r="A66" s="8"/>
      <c r="B66" s="14"/>
      <c r="C66" s="14"/>
      <c r="D66" s="8"/>
      <c r="E66" s="8"/>
      <c r="F66" s="20"/>
      <c r="G66" s="20"/>
      <c r="H66" s="9"/>
      <c r="I66" s="9"/>
      <c r="J66" s="9"/>
      <c r="K66" s="9"/>
      <c r="L66" s="9"/>
      <c r="M66" s="9"/>
      <c r="N66" s="9"/>
      <c r="O66" s="9"/>
      <c r="P66" s="9"/>
      <c r="Q66" s="9"/>
      <c r="R66" s="5"/>
      <c r="S66" s="10"/>
      <c r="T66" s="11"/>
      <c r="U66" s="13"/>
      <c r="V66" s="5"/>
      <c r="W66" s="5"/>
      <c r="X66" s="10"/>
      <c r="Y66" s="5"/>
      <c r="Z66" s="10"/>
      <c r="AA66" s="9"/>
      <c r="AB66" s="5"/>
      <c r="AC66" s="11"/>
    </row>
    <row r="67" spans="1:29" x14ac:dyDescent="0.2">
      <c r="A67" s="8"/>
      <c r="B67" s="14"/>
      <c r="C67" s="14"/>
      <c r="D67" s="8"/>
      <c r="E67" s="8"/>
      <c r="F67" s="20"/>
      <c r="G67" s="20"/>
      <c r="H67" s="9"/>
      <c r="I67" s="9"/>
      <c r="J67" s="9"/>
      <c r="K67" s="9"/>
      <c r="L67" s="9"/>
      <c r="M67" s="9"/>
      <c r="N67" s="9"/>
      <c r="O67" s="9"/>
      <c r="P67" s="9"/>
      <c r="Q67" s="9"/>
      <c r="R67" s="5"/>
      <c r="S67" s="10"/>
      <c r="T67" s="11"/>
      <c r="U67" s="13"/>
      <c r="V67" s="5"/>
      <c r="W67" s="5"/>
      <c r="X67" s="10"/>
      <c r="Y67" s="5"/>
      <c r="Z67" s="10"/>
      <c r="AA67" s="9"/>
      <c r="AB67" s="5"/>
      <c r="AC67" s="11"/>
    </row>
    <row r="68" spans="1:29" x14ac:dyDescent="0.2">
      <c r="A68" s="8"/>
      <c r="B68" s="14"/>
      <c r="C68" s="14"/>
      <c r="D68" s="8"/>
      <c r="E68" s="8"/>
      <c r="F68" s="20"/>
      <c r="G68" s="20"/>
      <c r="H68" s="9"/>
      <c r="I68" s="9"/>
      <c r="J68" s="9"/>
      <c r="K68" s="9"/>
      <c r="L68" s="9"/>
      <c r="M68" s="9"/>
      <c r="N68" s="9"/>
      <c r="O68" s="9"/>
      <c r="P68" s="9"/>
      <c r="Q68" s="9"/>
      <c r="R68" s="5"/>
      <c r="S68" s="10"/>
      <c r="T68" s="11"/>
      <c r="U68" s="13"/>
      <c r="V68" s="5"/>
      <c r="W68" s="5"/>
      <c r="X68" s="10"/>
      <c r="Y68" s="5"/>
      <c r="Z68" s="10"/>
      <c r="AA68" s="9"/>
      <c r="AB68" s="5"/>
      <c r="AC68" s="11"/>
    </row>
    <row r="69" spans="1:29" x14ac:dyDescent="0.2">
      <c r="A69" s="8"/>
      <c r="B69" s="14"/>
      <c r="C69" s="14"/>
      <c r="D69" s="8"/>
      <c r="E69" s="8"/>
      <c r="F69" s="20"/>
      <c r="G69" s="20"/>
      <c r="H69" s="9"/>
      <c r="I69" s="9"/>
      <c r="J69" s="9"/>
      <c r="K69" s="9"/>
      <c r="L69" s="9"/>
      <c r="M69" s="9"/>
      <c r="N69" s="9"/>
      <c r="O69" s="9"/>
      <c r="P69" s="9"/>
      <c r="Q69" s="9"/>
      <c r="R69" s="5"/>
      <c r="S69" s="10"/>
      <c r="T69" s="11"/>
      <c r="U69" s="13"/>
      <c r="V69" s="5"/>
      <c r="W69" s="5"/>
      <c r="X69" s="10"/>
      <c r="Y69" s="5"/>
      <c r="Z69" s="10"/>
      <c r="AA69" s="9"/>
      <c r="AB69" s="5"/>
      <c r="AC69" s="11"/>
    </row>
    <row r="70" spans="1:29" x14ac:dyDescent="0.2">
      <c r="A70" s="8"/>
      <c r="B70" s="14"/>
      <c r="C70" s="14"/>
      <c r="D70" s="18"/>
      <c r="E70" s="18"/>
      <c r="F70" s="20"/>
      <c r="G70" s="20"/>
      <c r="H70" s="9"/>
      <c r="I70" s="9"/>
      <c r="J70" s="9"/>
      <c r="K70" s="9"/>
      <c r="L70" s="9"/>
      <c r="M70" s="9"/>
      <c r="N70" s="9"/>
      <c r="O70" s="9"/>
      <c r="P70" s="9"/>
      <c r="Q70" s="9"/>
      <c r="R70" s="5"/>
      <c r="S70" s="10"/>
      <c r="T70" s="11"/>
      <c r="U70" s="13"/>
      <c r="V70" s="5"/>
      <c r="W70" s="5"/>
      <c r="X70" s="10"/>
      <c r="Y70" s="5"/>
      <c r="Z70" s="10"/>
      <c r="AA70" s="9"/>
      <c r="AB70" s="5"/>
      <c r="AC70" s="11"/>
    </row>
    <row r="71" spans="1:29" x14ac:dyDescent="0.2">
      <c r="A71" s="8"/>
      <c r="B71" s="14"/>
      <c r="C71" s="14"/>
      <c r="D71" s="18"/>
      <c r="E71" s="18"/>
      <c r="F71" s="20"/>
      <c r="G71" s="20"/>
      <c r="H71" s="9"/>
      <c r="I71" s="9"/>
      <c r="J71" s="9"/>
      <c r="K71" s="9"/>
      <c r="L71" s="9"/>
      <c r="M71" s="9"/>
      <c r="N71" s="9"/>
      <c r="O71" s="9"/>
      <c r="P71" s="9"/>
      <c r="Q71" s="9"/>
      <c r="R71" s="5"/>
      <c r="S71" s="10"/>
      <c r="T71" s="11"/>
      <c r="U71" s="13"/>
      <c r="V71" s="5"/>
      <c r="W71" s="5"/>
      <c r="X71" s="10"/>
      <c r="Y71" s="5"/>
      <c r="Z71" s="10"/>
      <c r="AA71" s="9"/>
      <c r="AB71" s="5"/>
      <c r="AC71" s="11"/>
    </row>
    <row r="72" spans="1:29" x14ac:dyDescent="0.2">
      <c r="A72" s="8"/>
      <c r="B72" s="14"/>
      <c r="C72" s="14"/>
      <c r="D72" s="8"/>
      <c r="E72" s="8"/>
      <c r="F72" s="20"/>
      <c r="G72" s="20"/>
      <c r="H72" s="9"/>
      <c r="I72" s="9"/>
      <c r="J72" s="9"/>
      <c r="K72" s="9"/>
      <c r="L72" s="9"/>
      <c r="M72" s="9"/>
      <c r="N72" s="9"/>
      <c r="O72" s="9"/>
      <c r="P72" s="9"/>
      <c r="Q72" s="9"/>
      <c r="R72" s="5"/>
      <c r="S72" s="10"/>
      <c r="T72" s="11"/>
      <c r="U72" s="13"/>
      <c r="V72" s="5"/>
      <c r="W72" s="5"/>
      <c r="X72" s="10"/>
      <c r="Y72" s="5"/>
      <c r="Z72" s="10"/>
      <c r="AA72" s="9"/>
      <c r="AB72" s="5"/>
      <c r="AC72" s="11"/>
    </row>
    <row r="73" spans="1:29" x14ac:dyDescent="0.2">
      <c r="A73" s="8"/>
      <c r="B73" s="14"/>
      <c r="C73" s="14"/>
      <c r="D73" s="8"/>
      <c r="E73" s="8"/>
      <c r="F73" s="20"/>
      <c r="G73" s="20"/>
      <c r="H73" s="9"/>
      <c r="I73" s="9"/>
      <c r="J73" s="9"/>
      <c r="K73" s="9"/>
      <c r="L73" s="9"/>
      <c r="M73" s="9"/>
      <c r="N73" s="9"/>
      <c r="O73" s="9"/>
      <c r="P73" s="9"/>
      <c r="Q73" s="9"/>
      <c r="R73" s="5"/>
      <c r="S73" s="10"/>
      <c r="T73" s="11"/>
      <c r="U73" s="13"/>
      <c r="V73" s="5"/>
      <c r="W73" s="5"/>
      <c r="X73" s="10"/>
      <c r="Y73" s="5"/>
      <c r="Z73" s="10"/>
      <c r="AA73" s="9"/>
      <c r="AB73" s="5"/>
      <c r="AC73" s="11"/>
    </row>
    <row r="74" spans="1:29" x14ac:dyDescent="0.2">
      <c r="A74" s="8"/>
      <c r="B74" s="14"/>
      <c r="C74" s="14"/>
      <c r="D74" s="8"/>
      <c r="E74" s="8"/>
      <c r="F74" s="20"/>
      <c r="G74" s="20"/>
      <c r="H74" s="9"/>
      <c r="I74" s="9"/>
      <c r="J74" s="9"/>
      <c r="K74" s="9"/>
      <c r="L74" s="9"/>
      <c r="M74" s="9"/>
      <c r="N74" s="9"/>
      <c r="O74" s="9"/>
      <c r="P74" s="9"/>
      <c r="Q74" s="9"/>
      <c r="R74" s="5"/>
      <c r="S74" s="10"/>
      <c r="T74" s="11"/>
      <c r="U74" s="13"/>
      <c r="V74" s="5"/>
      <c r="W74" s="5"/>
      <c r="X74" s="10"/>
      <c r="Y74" s="5"/>
      <c r="Z74" s="10"/>
      <c r="AA74" s="9"/>
      <c r="AB74" s="5"/>
      <c r="AC74" s="11"/>
    </row>
    <row r="75" spans="1:29" x14ac:dyDescent="0.2">
      <c r="A75" s="8"/>
      <c r="B75" s="14"/>
      <c r="C75" s="14"/>
      <c r="D75" s="8"/>
      <c r="E75" s="8"/>
      <c r="F75" s="20"/>
      <c r="G75" s="20"/>
      <c r="H75" s="9"/>
      <c r="I75" s="9"/>
      <c r="J75" s="9"/>
      <c r="K75" s="9"/>
      <c r="L75" s="9"/>
      <c r="M75" s="9"/>
      <c r="N75" s="9"/>
      <c r="O75" s="9"/>
      <c r="P75" s="9"/>
      <c r="Q75" s="9"/>
      <c r="R75" s="5"/>
      <c r="S75" s="10"/>
      <c r="T75" s="11"/>
      <c r="U75" s="13"/>
      <c r="V75" s="5"/>
      <c r="W75" s="5"/>
      <c r="X75" s="10"/>
      <c r="Y75" s="5"/>
      <c r="Z75" s="10"/>
      <c r="AA75" s="9"/>
      <c r="AB75" s="5"/>
      <c r="AC75" s="11"/>
    </row>
    <row r="76" spans="1:29" x14ac:dyDescent="0.2">
      <c r="A76" s="8"/>
      <c r="B76" s="14"/>
      <c r="C76" s="14"/>
      <c r="D76" s="8"/>
      <c r="E76" s="8"/>
      <c r="F76" s="20"/>
      <c r="G76" s="20"/>
      <c r="H76" s="9"/>
      <c r="I76" s="9"/>
      <c r="J76" s="9"/>
      <c r="K76" s="9"/>
      <c r="L76" s="9"/>
      <c r="M76" s="9"/>
      <c r="N76" s="9"/>
      <c r="O76" s="9"/>
      <c r="P76" s="9"/>
      <c r="Q76" s="9"/>
      <c r="R76" s="5"/>
      <c r="S76" s="10"/>
      <c r="T76" s="11"/>
      <c r="U76" s="13"/>
      <c r="V76" s="5"/>
      <c r="W76" s="5"/>
      <c r="X76" s="10"/>
      <c r="Y76" s="5"/>
      <c r="Z76" s="10"/>
      <c r="AA76" s="9"/>
      <c r="AB76" s="5"/>
      <c r="AC76" s="11"/>
    </row>
    <row r="77" spans="1:29" x14ac:dyDescent="0.2">
      <c r="A77" s="8"/>
      <c r="B77" s="14"/>
      <c r="C77" s="14"/>
      <c r="D77" s="8"/>
      <c r="E77" s="8"/>
      <c r="F77" s="20"/>
      <c r="G77" s="20"/>
      <c r="H77" s="9"/>
      <c r="I77" s="9"/>
      <c r="J77" s="9"/>
      <c r="K77" s="9"/>
      <c r="L77" s="9"/>
      <c r="M77" s="9"/>
      <c r="N77" s="9"/>
      <c r="O77" s="9"/>
      <c r="P77" s="9"/>
      <c r="Q77" s="9"/>
      <c r="R77" s="5"/>
      <c r="S77" s="10"/>
      <c r="T77" s="11"/>
      <c r="U77" s="13"/>
      <c r="V77" s="5"/>
      <c r="W77" s="5"/>
      <c r="X77" s="10"/>
      <c r="Y77" s="5"/>
      <c r="Z77" s="10"/>
      <c r="AA77" s="9"/>
      <c r="AB77" s="5"/>
      <c r="AC77" s="11"/>
    </row>
    <row r="78" spans="1:29" x14ac:dyDescent="0.2">
      <c r="A78" s="8"/>
      <c r="B78" s="14"/>
      <c r="C78" s="14"/>
      <c r="D78" s="8"/>
      <c r="E78" s="8"/>
      <c r="F78" s="20"/>
      <c r="G78" s="20"/>
      <c r="H78" s="9"/>
      <c r="I78" s="9"/>
      <c r="J78" s="9"/>
      <c r="K78" s="9"/>
      <c r="L78" s="9"/>
      <c r="M78" s="9"/>
      <c r="N78" s="9"/>
      <c r="O78" s="9"/>
      <c r="P78" s="9"/>
      <c r="Q78" s="9"/>
      <c r="R78" s="5"/>
      <c r="S78" s="10"/>
      <c r="T78" s="11"/>
      <c r="U78" s="13"/>
      <c r="V78" s="5"/>
      <c r="W78" s="5"/>
      <c r="X78" s="10"/>
      <c r="Y78" s="5"/>
      <c r="Z78" s="10"/>
      <c r="AA78" s="9"/>
      <c r="AB78" s="5"/>
      <c r="AC78" s="11"/>
    </row>
    <row r="79" spans="1:29" x14ac:dyDescent="0.2">
      <c r="A79" s="8"/>
      <c r="B79" s="14"/>
      <c r="C79" s="14"/>
      <c r="D79" s="8"/>
      <c r="E79" s="8"/>
      <c r="F79" s="20"/>
      <c r="G79" s="20"/>
      <c r="H79" s="9"/>
      <c r="I79" s="9"/>
      <c r="J79" s="9"/>
      <c r="K79" s="9"/>
      <c r="L79" s="9"/>
      <c r="M79" s="9"/>
      <c r="N79" s="9"/>
      <c r="O79" s="9"/>
      <c r="P79" s="9"/>
      <c r="Q79" s="9"/>
      <c r="R79" s="5"/>
      <c r="S79" s="10"/>
      <c r="T79" s="11"/>
      <c r="U79" s="13"/>
      <c r="V79" s="5"/>
      <c r="W79" s="5"/>
      <c r="X79" s="10"/>
      <c r="Y79" s="5"/>
      <c r="Z79" s="10"/>
      <c r="AA79" s="9"/>
      <c r="AB79" s="5"/>
      <c r="AC79" s="11"/>
    </row>
    <row r="80" spans="1:29" x14ac:dyDescent="0.2">
      <c r="A80" s="8"/>
      <c r="B80" s="14"/>
      <c r="C80" s="14"/>
      <c r="D80" s="8"/>
      <c r="E80" s="8"/>
      <c r="F80" s="20"/>
      <c r="G80" s="20"/>
      <c r="H80" s="9"/>
      <c r="I80" s="9"/>
      <c r="J80" s="9"/>
      <c r="K80" s="9"/>
      <c r="L80" s="9"/>
      <c r="M80" s="9"/>
      <c r="N80" s="9"/>
      <c r="O80" s="9"/>
      <c r="P80" s="9"/>
      <c r="Q80" s="9"/>
      <c r="R80" s="5"/>
      <c r="S80" s="10"/>
      <c r="T80" s="11"/>
      <c r="U80" s="13"/>
      <c r="V80" s="5"/>
      <c r="W80" s="5"/>
      <c r="X80" s="10"/>
      <c r="Y80" s="5"/>
      <c r="Z80" s="10"/>
      <c r="AA80" s="9"/>
      <c r="AB80" s="5"/>
      <c r="AC80" s="11"/>
    </row>
    <row r="81" spans="1:29" x14ac:dyDescent="0.2">
      <c r="A81" s="8"/>
      <c r="B81" s="14"/>
      <c r="C81" s="14"/>
      <c r="D81" s="8"/>
      <c r="E81" s="8"/>
      <c r="F81" s="20"/>
      <c r="G81" s="20"/>
      <c r="H81" s="9"/>
      <c r="I81" s="9"/>
      <c r="J81" s="9"/>
      <c r="K81" s="9"/>
      <c r="L81" s="9"/>
      <c r="M81" s="9"/>
      <c r="N81" s="9"/>
      <c r="O81" s="9"/>
      <c r="P81" s="9"/>
      <c r="Q81" s="9"/>
      <c r="R81" s="5"/>
      <c r="S81" s="10"/>
      <c r="T81" s="11"/>
      <c r="U81" s="13"/>
      <c r="V81" s="5"/>
      <c r="W81" s="5"/>
      <c r="X81" s="10"/>
      <c r="Y81" s="5"/>
      <c r="Z81" s="10"/>
      <c r="AA81" s="9"/>
      <c r="AB81" s="5"/>
      <c r="AC81" s="11"/>
    </row>
    <row r="82" spans="1:29" x14ac:dyDescent="0.2">
      <c r="A82" s="8"/>
      <c r="B82" s="14"/>
      <c r="C82" s="14"/>
      <c r="D82" s="8"/>
      <c r="E82" s="8"/>
      <c r="F82" s="20"/>
      <c r="G82" s="20"/>
      <c r="H82" s="9"/>
      <c r="I82" s="9"/>
      <c r="J82" s="9"/>
      <c r="K82" s="9"/>
      <c r="L82" s="9"/>
      <c r="M82" s="9"/>
      <c r="N82" s="9"/>
      <c r="O82" s="9"/>
      <c r="P82" s="9"/>
      <c r="Q82" s="9"/>
      <c r="R82" s="5"/>
      <c r="S82" s="10"/>
      <c r="T82" s="11"/>
      <c r="U82" s="13"/>
      <c r="V82" s="5"/>
      <c r="W82" s="5"/>
      <c r="X82" s="10"/>
      <c r="Y82" s="5"/>
      <c r="Z82" s="10"/>
      <c r="AA82" s="9"/>
      <c r="AB82" s="5"/>
      <c r="AC82" s="11"/>
    </row>
    <row r="83" spans="1:29" x14ac:dyDescent="0.2">
      <c r="A83" s="8"/>
      <c r="B83" s="14"/>
      <c r="C83" s="14"/>
      <c r="D83" s="8"/>
      <c r="E83" s="8"/>
      <c r="F83" s="20"/>
      <c r="G83" s="20"/>
      <c r="H83" s="9"/>
      <c r="I83" s="9"/>
      <c r="J83" s="9"/>
      <c r="K83" s="9"/>
      <c r="L83" s="9"/>
      <c r="M83" s="9"/>
      <c r="N83" s="9"/>
      <c r="O83" s="9"/>
      <c r="P83" s="9"/>
      <c r="Q83" s="9"/>
      <c r="R83" s="5"/>
      <c r="S83" s="10"/>
      <c r="T83" s="11"/>
      <c r="U83" s="13"/>
      <c r="V83" s="5"/>
      <c r="W83" s="5"/>
      <c r="X83" s="10"/>
      <c r="Y83" s="5"/>
      <c r="Z83" s="10"/>
      <c r="AA83" s="9"/>
      <c r="AB83" s="5"/>
      <c r="AC83" s="11"/>
    </row>
    <row r="84" spans="1:29" x14ac:dyDescent="0.2">
      <c r="A84" s="8"/>
      <c r="B84" s="14"/>
      <c r="C84" s="14"/>
      <c r="D84" s="8"/>
      <c r="E84" s="8"/>
      <c r="F84" s="20"/>
      <c r="G84" s="20"/>
      <c r="H84" s="9"/>
      <c r="I84" s="9"/>
      <c r="J84" s="9"/>
      <c r="K84" s="9"/>
      <c r="L84" s="9"/>
      <c r="M84" s="9"/>
      <c r="N84" s="9"/>
      <c r="O84" s="9"/>
      <c r="P84" s="9"/>
      <c r="Q84" s="9"/>
      <c r="R84" s="5"/>
      <c r="S84" s="10"/>
      <c r="T84" s="11"/>
      <c r="U84" s="13"/>
      <c r="V84" s="5"/>
      <c r="W84" s="5"/>
      <c r="X84" s="10"/>
      <c r="Y84" s="5"/>
      <c r="Z84" s="10"/>
      <c r="AA84" s="9"/>
      <c r="AB84" s="5"/>
      <c r="AC84" s="11"/>
    </row>
    <row r="85" spans="1:29" x14ac:dyDescent="0.2">
      <c r="A85" s="8"/>
      <c r="B85" s="14"/>
      <c r="C85" s="14"/>
      <c r="D85" s="8"/>
      <c r="E85" s="8"/>
      <c r="F85" s="20"/>
      <c r="G85" s="20"/>
      <c r="H85" s="9"/>
      <c r="I85" s="9"/>
      <c r="J85" s="9"/>
      <c r="K85" s="9"/>
      <c r="L85" s="9"/>
      <c r="M85" s="9"/>
      <c r="N85" s="9"/>
      <c r="O85" s="9"/>
      <c r="P85" s="9"/>
      <c r="Q85" s="9"/>
      <c r="R85" s="5"/>
      <c r="S85" s="10"/>
      <c r="T85" s="11"/>
      <c r="U85" s="13"/>
      <c r="V85" s="5"/>
      <c r="W85" s="5"/>
      <c r="X85" s="10"/>
      <c r="Y85" s="5"/>
      <c r="Z85" s="10"/>
      <c r="AA85" s="9"/>
      <c r="AB85" s="5"/>
      <c r="AC85" s="11"/>
    </row>
    <row r="86" spans="1:29" x14ac:dyDescent="0.2">
      <c r="A86" s="8"/>
      <c r="B86" s="14"/>
      <c r="C86" s="14"/>
      <c r="D86" s="8"/>
      <c r="E86" s="8"/>
      <c r="F86" s="20"/>
      <c r="G86" s="20"/>
      <c r="H86" s="9"/>
      <c r="I86" s="9"/>
      <c r="J86" s="9"/>
      <c r="K86" s="9"/>
      <c r="L86" s="9"/>
      <c r="M86" s="9"/>
      <c r="N86" s="9"/>
      <c r="O86" s="9"/>
      <c r="P86" s="9"/>
      <c r="Q86" s="9"/>
      <c r="R86" s="5"/>
      <c r="S86" s="10"/>
      <c r="T86" s="11"/>
      <c r="U86" s="13"/>
      <c r="V86" s="5"/>
      <c r="W86" s="5"/>
      <c r="X86" s="10"/>
      <c r="Y86" s="5"/>
      <c r="Z86" s="10"/>
      <c r="AA86" s="9"/>
      <c r="AB86" s="5"/>
      <c r="AC86" s="11"/>
    </row>
    <row r="87" spans="1:29" x14ac:dyDescent="0.2">
      <c r="A87" s="8"/>
      <c r="B87" s="14"/>
      <c r="C87" s="14"/>
      <c r="D87" s="8"/>
      <c r="E87" s="8"/>
      <c r="F87" s="20"/>
      <c r="G87" s="20"/>
      <c r="H87" s="9"/>
      <c r="I87" s="9"/>
      <c r="J87" s="9"/>
      <c r="K87" s="9"/>
      <c r="L87" s="9"/>
      <c r="M87" s="9"/>
      <c r="N87" s="9"/>
      <c r="O87" s="9"/>
      <c r="P87" s="9"/>
      <c r="Q87" s="9"/>
      <c r="R87" s="5"/>
      <c r="S87" s="10"/>
      <c r="T87" s="11"/>
      <c r="U87" s="13"/>
      <c r="V87" s="5"/>
      <c r="W87" s="5"/>
      <c r="X87" s="10"/>
      <c r="Y87" s="5"/>
      <c r="Z87" s="10"/>
      <c r="AA87" s="9"/>
      <c r="AB87" s="5"/>
      <c r="AC87" s="11"/>
    </row>
    <row r="88" spans="1:29" x14ac:dyDescent="0.2">
      <c r="A88" s="8"/>
      <c r="B88" s="14"/>
      <c r="C88" s="14"/>
      <c r="D88" s="8"/>
      <c r="E88" s="8"/>
      <c r="F88" s="20"/>
      <c r="G88" s="20"/>
      <c r="H88" s="9"/>
      <c r="I88" s="9"/>
      <c r="J88" s="9"/>
      <c r="K88" s="9"/>
      <c r="L88" s="9"/>
      <c r="M88" s="9"/>
      <c r="N88" s="9"/>
      <c r="O88" s="9"/>
      <c r="P88" s="9"/>
      <c r="Q88" s="9"/>
      <c r="R88" s="5"/>
      <c r="S88" s="10"/>
      <c r="T88" s="11"/>
      <c r="U88" s="13"/>
      <c r="V88" s="5"/>
      <c r="W88" s="5"/>
      <c r="X88" s="10"/>
      <c r="Y88" s="5"/>
      <c r="Z88" s="10"/>
      <c r="AA88" s="9"/>
      <c r="AB88" s="5"/>
      <c r="AC88" s="11"/>
    </row>
    <row r="89" spans="1:29" x14ac:dyDescent="0.2">
      <c r="A89" s="8"/>
      <c r="B89" s="14"/>
      <c r="C89" s="14"/>
      <c r="D89" s="8"/>
      <c r="E89" s="8"/>
      <c r="F89" s="20"/>
      <c r="G89" s="20"/>
      <c r="H89" s="9"/>
      <c r="I89" s="9"/>
      <c r="J89" s="9"/>
      <c r="K89" s="9"/>
      <c r="L89" s="9"/>
      <c r="M89" s="9"/>
      <c r="N89" s="9"/>
      <c r="O89" s="9"/>
      <c r="P89" s="9"/>
      <c r="Q89" s="9"/>
      <c r="R89" s="5"/>
      <c r="S89" s="10"/>
      <c r="T89" s="11"/>
      <c r="U89" s="13"/>
      <c r="V89" s="5"/>
      <c r="W89" s="5"/>
      <c r="X89" s="10"/>
      <c r="Y89" s="5"/>
      <c r="Z89" s="10"/>
      <c r="AA89" s="9"/>
      <c r="AB89" s="5"/>
      <c r="AC89" s="11"/>
    </row>
    <row r="90" spans="1:29" x14ac:dyDescent="0.2">
      <c r="A90" s="8"/>
      <c r="B90" s="14"/>
      <c r="C90" s="14"/>
      <c r="D90" s="8"/>
      <c r="E90" s="8"/>
      <c r="F90" s="20"/>
      <c r="G90" s="20"/>
      <c r="H90" s="9"/>
      <c r="I90" s="9"/>
      <c r="J90" s="9"/>
      <c r="K90" s="9"/>
      <c r="L90" s="9"/>
      <c r="M90" s="9"/>
      <c r="N90" s="9"/>
      <c r="O90" s="9"/>
      <c r="P90" s="9"/>
      <c r="Q90" s="9"/>
      <c r="R90" s="5"/>
      <c r="S90" s="10"/>
      <c r="T90" s="11"/>
      <c r="U90" s="13"/>
      <c r="V90" s="5"/>
      <c r="W90" s="5"/>
      <c r="X90" s="10"/>
      <c r="Y90" s="5"/>
      <c r="Z90" s="10"/>
      <c r="AA90" s="9"/>
      <c r="AB90" s="5"/>
      <c r="AC90" s="11"/>
    </row>
    <row r="91" spans="1:29" x14ac:dyDescent="0.2">
      <c r="A91" s="8"/>
      <c r="B91" s="14"/>
      <c r="C91" s="14"/>
      <c r="D91" s="8"/>
      <c r="E91" s="8"/>
      <c r="F91" s="20"/>
      <c r="G91" s="20"/>
      <c r="H91" s="9"/>
      <c r="I91" s="9"/>
      <c r="J91" s="9"/>
      <c r="K91" s="9"/>
      <c r="L91" s="9"/>
      <c r="M91" s="9"/>
      <c r="N91" s="9"/>
      <c r="O91" s="9"/>
      <c r="P91" s="9"/>
      <c r="Q91" s="9"/>
      <c r="R91" s="5"/>
      <c r="S91" s="10"/>
      <c r="T91" s="11"/>
      <c r="U91" s="13"/>
      <c r="V91" s="5"/>
      <c r="W91" s="5"/>
      <c r="X91" s="10"/>
      <c r="Y91" s="5"/>
      <c r="Z91" s="10"/>
      <c r="AA91" s="9"/>
      <c r="AB91" s="5"/>
      <c r="AC91" s="11"/>
    </row>
    <row r="92" spans="1:29" x14ac:dyDescent="0.2">
      <c r="A92" s="8"/>
      <c r="B92" s="14"/>
      <c r="C92" s="14"/>
      <c r="D92" s="8"/>
      <c r="E92" s="8"/>
      <c r="F92" s="20"/>
      <c r="G92" s="20"/>
      <c r="H92" s="9"/>
      <c r="I92" s="9"/>
      <c r="J92" s="9"/>
      <c r="K92" s="9"/>
      <c r="L92" s="9"/>
      <c r="M92" s="9"/>
      <c r="N92" s="9"/>
      <c r="O92" s="9"/>
      <c r="P92" s="9"/>
      <c r="Q92" s="9"/>
      <c r="R92" s="5"/>
      <c r="S92" s="10"/>
      <c r="T92" s="11"/>
      <c r="U92" s="13"/>
      <c r="V92" s="5"/>
      <c r="W92" s="5"/>
      <c r="X92" s="10"/>
      <c r="Y92" s="5"/>
      <c r="Z92" s="10"/>
      <c r="AA92" s="9"/>
      <c r="AB92" s="5"/>
      <c r="AC92" s="11"/>
    </row>
    <row r="93" spans="1:29" x14ac:dyDescent="0.2">
      <c r="A93" s="8"/>
      <c r="B93" s="14"/>
      <c r="C93" s="14"/>
      <c r="D93" s="8"/>
      <c r="E93" s="8"/>
      <c r="F93" s="20"/>
      <c r="G93" s="20"/>
      <c r="H93" s="9"/>
      <c r="I93" s="9"/>
      <c r="J93" s="9"/>
      <c r="K93" s="9"/>
      <c r="L93" s="9"/>
      <c r="M93" s="9"/>
      <c r="N93" s="9"/>
      <c r="O93" s="9"/>
      <c r="P93" s="9"/>
      <c r="Q93" s="9"/>
      <c r="R93" s="5"/>
      <c r="S93" s="10"/>
      <c r="T93" s="11"/>
      <c r="U93" s="13"/>
      <c r="V93" s="5"/>
      <c r="W93" s="5"/>
      <c r="X93" s="10"/>
      <c r="Y93" s="5"/>
      <c r="Z93" s="10"/>
      <c r="AA93" s="9"/>
      <c r="AB93" s="5"/>
      <c r="AC93" s="11"/>
    </row>
    <row r="94" spans="1:29" x14ac:dyDescent="0.2">
      <c r="A94" s="8"/>
      <c r="B94" s="14"/>
      <c r="C94" s="14"/>
      <c r="D94" s="8"/>
      <c r="E94" s="8"/>
      <c r="F94" s="20"/>
      <c r="G94" s="20"/>
      <c r="H94" s="9"/>
      <c r="I94" s="9"/>
      <c r="J94" s="9"/>
      <c r="K94" s="9"/>
      <c r="L94" s="9"/>
      <c r="M94" s="9"/>
      <c r="N94" s="9"/>
      <c r="O94" s="9"/>
      <c r="P94" s="9"/>
      <c r="Q94" s="9"/>
      <c r="R94" s="5"/>
      <c r="S94" s="10"/>
      <c r="T94" s="11"/>
      <c r="U94" s="13"/>
      <c r="V94" s="5"/>
      <c r="W94" s="5"/>
      <c r="X94" s="10"/>
      <c r="Y94" s="5"/>
      <c r="Z94" s="10"/>
      <c r="AA94" s="9"/>
      <c r="AB94" s="5"/>
      <c r="AC94" s="11"/>
    </row>
    <row r="95" spans="1:29" x14ac:dyDescent="0.2">
      <c r="A95" s="8"/>
      <c r="B95" s="14"/>
      <c r="C95" s="14"/>
      <c r="D95" s="8"/>
      <c r="E95" s="8"/>
      <c r="F95" s="20"/>
      <c r="G95" s="20"/>
      <c r="H95" s="9"/>
      <c r="I95" s="9"/>
      <c r="J95" s="9"/>
      <c r="K95" s="9"/>
      <c r="L95" s="9"/>
      <c r="M95" s="9"/>
      <c r="N95" s="9"/>
      <c r="O95" s="9"/>
      <c r="P95" s="9"/>
      <c r="Q95" s="9"/>
      <c r="R95" s="5"/>
      <c r="S95" s="10"/>
      <c r="T95" s="11"/>
      <c r="U95" s="13"/>
      <c r="V95" s="5"/>
      <c r="W95" s="5"/>
      <c r="X95" s="10"/>
    </row>
    <row r="96" spans="1:29" x14ac:dyDescent="0.2">
      <c r="A96" s="8"/>
      <c r="B96" s="14"/>
      <c r="C96" s="14"/>
      <c r="D96" s="18"/>
      <c r="E96" s="18"/>
      <c r="F96" s="20"/>
      <c r="G96" s="20"/>
      <c r="H96" s="9"/>
      <c r="I96" s="9"/>
      <c r="J96" s="9"/>
      <c r="K96" s="9"/>
      <c r="L96" s="9"/>
      <c r="M96" s="9"/>
      <c r="N96" s="9"/>
      <c r="O96" s="9"/>
      <c r="P96" s="9"/>
      <c r="Q96" s="9"/>
      <c r="R96" s="5"/>
      <c r="S96" s="10"/>
      <c r="T96" s="11"/>
      <c r="U96" s="13"/>
      <c r="V96" s="5"/>
      <c r="W96" s="5"/>
      <c r="X96" s="10"/>
    </row>
    <row r="97" spans="1:24" x14ac:dyDescent="0.2">
      <c r="A97" s="8"/>
      <c r="B97" s="14"/>
      <c r="C97" s="14"/>
      <c r="D97" s="18"/>
      <c r="E97" s="18"/>
      <c r="F97" s="20"/>
      <c r="G97" s="20"/>
      <c r="H97" s="9"/>
      <c r="I97" s="9"/>
      <c r="J97" s="9"/>
      <c r="K97" s="9"/>
      <c r="L97" s="9"/>
      <c r="M97" s="9"/>
      <c r="N97" s="9"/>
      <c r="O97" s="9"/>
      <c r="P97" s="9"/>
      <c r="Q97" s="9"/>
      <c r="R97" s="5"/>
      <c r="S97" s="10"/>
      <c r="T97" s="11"/>
      <c r="U97" s="13"/>
      <c r="V97" s="5"/>
      <c r="W97" s="5"/>
      <c r="X97" s="10"/>
    </row>
    <row r="98" spans="1:24" x14ac:dyDescent="0.2">
      <c r="A98" s="8"/>
      <c r="B98" s="14"/>
      <c r="C98" s="14"/>
      <c r="D98" s="8"/>
      <c r="E98" s="8"/>
      <c r="F98" s="20"/>
      <c r="G98" s="20"/>
      <c r="H98" s="9"/>
      <c r="I98" s="9"/>
      <c r="J98" s="9"/>
      <c r="K98" s="9"/>
      <c r="L98" s="9"/>
      <c r="M98" s="9"/>
      <c r="N98" s="9"/>
      <c r="O98" s="9"/>
      <c r="P98" s="9"/>
      <c r="Q98" s="9"/>
      <c r="R98" s="5"/>
      <c r="S98" s="10"/>
      <c r="T98" s="11"/>
      <c r="U98" s="13"/>
      <c r="V98" s="5"/>
      <c r="W98" s="5"/>
      <c r="X98" s="10"/>
    </row>
    <row r="99" spans="1:24" x14ac:dyDescent="0.2">
      <c r="A99" s="8"/>
      <c r="B99" s="14"/>
      <c r="C99" s="14"/>
      <c r="D99" s="8"/>
      <c r="E99" s="8"/>
      <c r="F99" s="20"/>
      <c r="G99" s="20"/>
      <c r="H99" s="9"/>
      <c r="I99" s="9"/>
      <c r="J99" s="9"/>
      <c r="K99" s="9"/>
      <c r="L99" s="9"/>
      <c r="M99" s="9"/>
      <c r="N99" s="9"/>
      <c r="O99" s="9"/>
      <c r="P99" s="9"/>
      <c r="Q99" s="9"/>
      <c r="R99" s="5"/>
      <c r="S99" s="10"/>
      <c r="T99" s="11"/>
      <c r="U99" s="13"/>
      <c r="V99" s="5"/>
      <c r="W99" s="5"/>
      <c r="X99" s="10"/>
    </row>
    <row r="100" spans="1:24" x14ac:dyDescent="0.2">
      <c r="A100" s="8"/>
      <c r="B100" s="14"/>
      <c r="C100" s="14"/>
      <c r="D100" s="8"/>
      <c r="E100" s="8"/>
      <c r="F100" s="20"/>
      <c r="G100" s="20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5"/>
      <c r="S100" s="10"/>
      <c r="T100" s="11"/>
      <c r="U100" s="13"/>
      <c r="V100" s="5"/>
      <c r="W100" s="5"/>
      <c r="X100" s="10"/>
    </row>
    <row r="101" spans="1:24" x14ac:dyDescent="0.2">
      <c r="A101" s="8"/>
      <c r="B101" s="14"/>
      <c r="C101" s="14"/>
      <c r="D101" s="9"/>
      <c r="E101" s="9"/>
      <c r="F101" s="9"/>
      <c r="G101" s="5"/>
      <c r="H101" s="9"/>
      <c r="I101" s="9"/>
      <c r="J101" s="9"/>
      <c r="K101" s="9"/>
      <c r="L101" s="9"/>
      <c r="M101" s="9"/>
      <c r="N101" s="9"/>
      <c r="O101" s="9"/>
      <c r="P101" s="9"/>
      <c r="Q101" s="5"/>
      <c r="R101" s="10"/>
      <c r="S101" s="11"/>
      <c r="T101" s="13"/>
      <c r="U101" s="5"/>
      <c r="V101" s="5"/>
      <c r="W101" s="5"/>
      <c r="X101" s="10"/>
    </row>
    <row r="102" spans="1:24" x14ac:dyDescent="0.2">
      <c r="A102" s="8"/>
      <c r="B102" s="14"/>
      <c r="C102" s="14"/>
      <c r="D102" s="9"/>
      <c r="E102" s="9"/>
      <c r="F102" s="9"/>
      <c r="G102" s="5"/>
      <c r="H102" s="9"/>
      <c r="I102" s="9"/>
      <c r="J102" s="9"/>
      <c r="K102" s="9"/>
      <c r="L102" s="9"/>
      <c r="M102" s="9"/>
      <c r="N102" s="9"/>
      <c r="O102" s="9"/>
      <c r="P102" s="9"/>
      <c r="Q102" s="5"/>
      <c r="R102" s="10"/>
      <c r="S102" s="11"/>
      <c r="T102" s="13"/>
      <c r="U102" s="5"/>
      <c r="V102" s="5"/>
      <c r="W102" s="5"/>
      <c r="X102" s="10"/>
    </row>
    <row r="103" spans="1:24" x14ac:dyDescent="0.2">
      <c r="A103" s="8"/>
      <c r="B103" s="14"/>
      <c r="C103" s="14"/>
      <c r="D103" s="9"/>
      <c r="E103" s="9"/>
      <c r="F103" s="9"/>
      <c r="G103" s="5"/>
      <c r="H103" s="9"/>
      <c r="I103" s="9"/>
      <c r="J103" s="9"/>
      <c r="K103" s="9"/>
      <c r="L103" s="9"/>
      <c r="M103" s="9"/>
      <c r="N103" s="9"/>
      <c r="O103" s="9"/>
      <c r="P103" s="9"/>
      <c r="Q103" s="5"/>
      <c r="R103" s="10"/>
      <c r="S103" s="11"/>
      <c r="T103" s="13"/>
      <c r="U103" s="5"/>
      <c r="V103" s="5"/>
      <c r="W103" s="5"/>
      <c r="X103" s="10"/>
    </row>
    <row r="104" spans="1:24" x14ac:dyDescent="0.2">
      <c r="A104" s="8"/>
      <c r="B104" s="14"/>
      <c r="C104" s="14"/>
      <c r="D104" s="9"/>
      <c r="E104" s="9"/>
      <c r="F104" s="9"/>
      <c r="G104" s="5"/>
      <c r="H104" s="9"/>
      <c r="I104" s="9"/>
      <c r="J104" s="9"/>
      <c r="K104" s="9"/>
      <c r="L104" s="9"/>
      <c r="M104" s="9"/>
      <c r="N104" s="9"/>
      <c r="O104" s="9"/>
      <c r="P104" s="9"/>
      <c r="Q104" s="5"/>
      <c r="R104" s="10"/>
      <c r="S104" s="11"/>
      <c r="T104" s="13"/>
      <c r="U104" s="5"/>
      <c r="V104" s="5"/>
      <c r="W104" s="5"/>
      <c r="X104" s="10"/>
    </row>
    <row r="105" spans="1:24" x14ac:dyDescent="0.2">
      <c r="A105" s="8"/>
      <c r="B105" s="14"/>
      <c r="C105" s="14"/>
      <c r="D105" s="9"/>
      <c r="E105" s="9"/>
      <c r="F105" s="9"/>
      <c r="G105" s="5"/>
      <c r="H105" s="9"/>
      <c r="I105" s="9"/>
      <c r="J105" s="9"/>
      <c r="K105" s="9"/>
      <c r="L105" s="9"/>
      <c r="M105" s="9"/>
      <c r="N105" s="9"/>
      <c r="O105" s="9"/>
      <c r="P105" s="9"/>
      <c r="Q105" s="5"/>
      <c r="R105" s="10"/>
      <c r="S105" s="11"/>
      <c r="T105" s="13"/>
      <c r="U105" s="5"/>
      <c r="V105" s="5"/>
      <c r="W105" s="5"/>
      <c r="X105" s="10"/>
    </row>
    <row r="106" spans="1:24" x14ac:dyDescent="0.2">
      <c r="A106" s="8"/>
      <c r="B106" s="14"/>
      <c r="C106" s="14"/>
      <c r="D106" s="9"/>
      <c r="E106" s="9"/>
      <c r="F106" s="9"/>
      <c r="G106" s="5"/>
      <c r="H106" s="9"/>
      <c r="I106" s="9"/>
      <c r="J106" s="9"/>
      <c r="K106" s="9"/>
      <c r="L106" s="9"/>
      <c r="M106" s="9"/>
      <c r="N106" s="9"/>
      <c r="O106" s="9"/>
      <c r="P106" s="9"/>
      <c r="Q106" s="5"/>
      <c r="R106" s="10"/>
      <c r="S106" s="11"/>
      <c r="T106" s="13"/>
      <c r="U106" s="5"/>
      <c r="V106" s="5"/>
      <c r="W106" s="5"/>
      <c r="X106" s="10"/>
    </row>
    <row r="107" spans="1:24" x14ac:dyDescent="0.2">
      <c r="A107" s="8"/>
      <c r="B107" s="14"/>
      <c r="C107" s="14"/>
      <c r="D107" s="9"/>
      <c r="E107" s="9"/>
      <c r="F107" s="9"/>
      <c r="G107" s="5"/>
      <c r="H107" s="9"/>
      <c r="I107" s="9"/>
      <c r="J107" s="9"/>
      <c r="K107" s="9"/>
      <c r="L107" s="9"/>
      <c r="M107" s="9"/>
      <c r="N107" s="9"/>
      <c r="O107" s="9"/>
      <c r="P107" s="9"/>
      <c r="Q107" s="5"/>
      <c r="R107" s="10"/>
      <c r="S107" s="11"/>
      <c r="T107" s="10"/>
      <c r="U107" s="5"/>
      <c r="V107" s="5"/>
      <c r="W107" s="5"/>
      <c r="X107" s="10"/>
    </row>
    <row r="108" spans="1:24" x14ac:dyDescent="0.2">
      <c r="A108" s="8"/>
      <c r="B108" s="14"/>
      <c r="C108" s="14"/>
      <c r="D108" s="9"/>
      <c r="E108" s="9"/>
      <c r="F108" s="9"/>
      <c r="G108" s="5"/>
      <c r="H108" s="9"/>
      <c r="I108" s="9"/>
      <c r="J108" s="9"/>
      <c r="K108" s="9"/>
      <c r="L108" s="9"/>
      <c r="M108" s="14"/>
      <c r="N108" s="9"/>
      <c r="O108" s="9"/>
      <c r="P108" s="9"/>
      <c r="Q108" s="5"/>
      <c r="R108" s="10"/>
      <c r="S108" s="10"/>
      <c r="T108" s="10"/>
      <c r="U108" s="11"/>
      <c r="V108" s="13"/>
      <c r="W108" s="13"/>
      <c r="X108" s="10"/>
    </row>
    <row r="109" spans="1:24" x14ac:dyDescent="0.2">
      <c r="A109" s="8"/>
      <c r="B109" s="14"/>
      <c r="C109" s="14"/>
      <c r="D109" s="9"/>
      <c r="E109" s="9"/>
      <c r="F109" s="9"/>
      <c r="G109" s="5"/>
      <c r="H109" s="9"/>
      <c r="I109" s="9"/>
      <c r="J109" s="9"/>
      <c r="K109" s="9"/>
      <c r="L109" s="9"/>
      <c r="M109" s="14"/>
      <c r="N109" s="9"/>
      <c r="O109" s="9"/>
      <c r="P109" s="9"/>
      <c r="Q109" s="5"/>
      <c r="R109" s="10"/>
      <c r="S109" s="10"/>
      <c r="T109" s="10"/>
      <c r="U109" s="11"/>
      <c r="V109" s="13"/>
      <c r="W109" s="13"/>
      <c r="X109" s="10"/>
    </row>
    <row r="110" spans="1:24" x14ac:dyDescent="0.2">
      <c r="A110" s="8"/>
      <c r="B110" s="14"/>
      <c r="C110" s="14"/>
      <c r="D110" s="9"/>
      <c r="E110" s="9"/>
      <c r="F110" s="9"/>
      <c r="G110" s="5"/>
      <c r="H110" s="9"/>
      <c r="I110" s="9"/>
      <c r="J110" s="9"/>
      <c r="K110" s="9"/>
      <c r="L110" s="9"/>
      <c r="M110" s="14"/>
      <c r="N110" s="9"/>
      <c r="O110" s="9"/>
      <c r="P110" s="9"/>
      <c r="Q110" s="5"/>
      <c r="R110" s="10"/>
      <c r="S110" s="10"/>
      <c r="T110" s="10"/>
      <c r="U110" s="11"/>
      <c r="V110" s="13"/>
      <c r="W110" s="13"/>
      <c r="X110" s="10"/>
    </row>
    <row r="111" spans="1:24" x14ac:dyDescent="0.2">
      <c r="A111" s="8"/>
      <c r="B111" s="14"/>
      <c r="C111" s="14"/>
      <c r="D111" s="9"/>
      <c r="E111" s="9"/>
      <c r="F111" s="9"/>
      <c r="G111" s="5"/>
      <c r="H111" s="9"/>
      <c r="I111" s="9"/>
      <c r="J111" s="9"/>
      <c r="K111" s="9"/>
      <c r="L111" s="9"/>
      <c r="M111" s="14"/>
      <c r="N111" s="9"/>
      <c r="O111" s="9"/>
      <c r="P111" s="9"/>
      <c r="Q111" s="5"/>
      <c r="R111" s="10"/>
      <c r="S111" s="10"/>
      <c r="T111" s="10"/>
      <c r="U111" s="11"/>
      <c r="V111" s="13"/>
      <c r="W111" s="13"/>
      <c r="X111" s="10"/>
    </row>
    <row r="112" spans="1:24" x14ac:dyDescent="0.2">
      <c r="A112" s="8"/>
      <c r="B112" s="14"/>
      <c r="C112" s="14"/>
      <c r="D112" s="9"/>
      <c r="E112" s="9"/>
      <c r="F112" s="9"/>
      <c r="G112" s="5"/>
      <c r="H112" s="9"/>
      <c r="I112" s="9"/>
      <c r="J112" s="9"/>
      <c r="K112" s="9"/>
      <c r="L112" s="9"/>
      <c r="M112" s="14"/>
      <c r="N112" s="9"/>
      <c r="O112" s="9"/>
      <c r="P112" s="9"/>
      <c r="Q112" s="5"/>
      <c r="R112" s="10"/>
      <c r="S112" s="10"/>
      <c r="T112" s="10"/>
      <c r="U112" s="11"/>
      <c r="V112" s="13"/>
      <c r="W112" s="13"/>
      <c r="X112" s="10"/>
    </row>
    <row r="113" spans="1:24" x14ac:dyDescent="0.2">
      <c r="A113" s="8"/>
      <c r="B113" s="14"/>
      <c r="C113" s="14"/>
      <c r="D113" s="9"/>
      <c r="E113" s="9"/>
      <c r="F113" s="9"/>
      <c r="G113" s="5"/>
      <c r="H113" s="9"/>
      <c r="I113" s="9"/>
      <c r="J113" s="9"/>
      <c r="K113" s="9"/>
      <c r="L113" s="9"/>
      <c r="M113" s="14"/>
      <c r="N113" s="9"/>
      <c r="O113" s="9"/>
      <c r="P113" s="9"/>
      <c r="Q113" s="5"/>
      <c r="R113" s="10"/>
      <c r="S113" s="10"/>
      <c r="T113" s="10"/>
      <c r="U113" s="11"/>
      <c r="V113" s="13"/>
      <c r="W113" s="13"/>
      <c r="X113" s="10"/>
    </row>
    <row r="114" spans="1:24" x14ac:dyDescent="0.2">
      <c r="A114" s="8"/>
      <c r="B114" s="14"/>
      <c r="C114" s="14"/>
      <c r="D114" s="9"/>
      <c r="E114" s="9"/>
      <c r="F114" s="9"/>
      <c r="G114" s="5"/>
      <c r="H114" s="9"/>
      <c r="I114" s="9"/>
      <c r="J114" s="9"/>
      <c r="K114" s="9"/>
      <c r="L114" s="9"/>
      <c r="M114" s="14"/>
      <c r="N114" s="9"/>
      <c r="O114" s="9"/>
      <c r="P114" s="9"/>
      <c r="Q114" s="5"/>
      <c r="R114" s="10"/>
      <c r="S114" s="10"/>
      <c r="T114" s="10"/>
      <c r="U114" s="11"/>
      <c r="V114" s="13"/>
      <c r="W114" s="13"/>
      <c r="X114" s="10"/>
    </row>
    <row r="115" spans="1:24" x14ac:dyDescent="0.2">
      <c r="A115" s="8"/>
      <c r="B115" s="14"/>
      <c r="C115" s="14"/>
      <c r="D115" s="9"/>
      <c r="E115" s="9"/>
      <c r="F115" s="9"/>
      <c r="G115" s="5"/>
      <c r="H115" s="9"/>
      <c r="I115" s="9"/>
      <c r="J115" s="9"/>
      <c r="K115" s="9"/>
      <c r="L115" s="9"/>
      <c r="M115" s="14"/>
      <c r="N115" s="9"/>
      <c r="O115" s="9"/>
      <c r="P115" s="9"/>
      <c r="Q115" s="5"/>
      <c r="R115" s="10"/>
      <c r="S115" s="10"/>
      <c r="T115" s="10"/>
      <c r="U115" s="11"/>
      <c r="V115" s="13"/>
      <c r="W115" s="13"/>
      <c r="X115" s="10"/>
    </row>
    <row r="116" spans="1:24" x14ac:dyDescent="0.2">
      <c r="A116" s="8"/>
      <c r="B116" s="14"/>
      <c r="C116" s="14"/>
      <c r="D116" s="9"/>
      <c r="E116" s="9"/>
      <c r="F116" s="9"/>
      <c r="G116" s="5"/>
      <c r="H116" s="9"/>
      <c r="I116" s="9"/>
      <c r="J116" s="9"/>
      <c r="K116" s="9"/>
      <c r="L116" s="9"/>
      <c r="M116" s="14"/>
      <c r="N116" s="9"/>
      <c r="O116" s="9"/>
      <c r="P116" s="9"/>
      <c r="Q116" s="5"/>
      <c r="R116" s="10"/>
      <c r="S116" s="10"/>
      <c r="T116" s="10"/>
      <c r="U116" s="11"/>
      <c r="V116" s="13"/>
      <c r="W116" s="13"/>
      <c r="X116" s="10"/>
    </row>
    <row r="117" spans="1:24" x14ac:dyDescent="0.2">
      <c r="A117" s="8"/>
      <c r="B117" s="14"/>
      <c r="C117" s="14"/>
      <c r="D117" s="9"/>
      <c r="E117" s="9"/>
      <c r="F117" s="9"/>
      <c r="G117" s="5"/>
      <c r="H117" s="9"/>
      <c r="I117" s="9"/>
      <c r="J117" s="9"/>
      <c r="K117" s="9"/>
      <c r="L117" s="9"/>
      <c r="M117" s="14"/>
      <c r="N117" s="9"/>
      <c r="O117" s="9"/>
      <c r="P117" s="9"/>
      <c r="Q117" s="5"/>
      <c r="R117" s="10"/>
      <c r="S117" s="10"/>
      <c r="T117" s="10"/>
      <c r="U117" s="11"/>
      <c r="V117" s="13"/>
      <c r="W117" s="13"/>
      <c r="X117" s="10"/>
    </row>
    <row r="118" spans="1:24" x14ac:dyDescent="0.2">
      <c r="A118" s="8"/>
      <c r="B118" s="14"/>
      <c r="C118" s="14"/>
      <c r="D118" s="9"/>
      <c r="E118" s="9"/>
      <c r="F118" s="9"/>
      <c r="G118" s="5"/>
      <c r="H118" s="9"/>
      <c r="I118" s="9"/>
      <c r="J118" s="9"/>
      <c r="K118" s="9"/>
      <c r="L118" s="9"/>
      <c r="M118" s="14"/>
      <c r="N118" s="9"/>
      <c r="O118" s="9"/>
      <c r="P118" s="9"/>
      <c r="Q118" s="5"/>
      <c r="R118" s="10"/>
      <c r="S118" s="10"/>
      <c r="T118" s="10"/>
      <c r="U118" s="11"/>
      <c r="V118" s="13"/>
      <c r="W118" s="13"/>
      <c r="X118" s="10"/>
    </row>
    <row r="119" spans="1:24" x14ac:dyDescent="0.2">
      <c r="A119" s="8"/>
      <c r="B119" s="14"/>
      <c r="C119" s="14"/>
      <c r="D119" s="9"/>
      <c r="E119" s="9"/>
      <c r="F119" s="9"/>
      <c r="G119" s="5"/>
      <c r="H119" s="9"/>
      <c r="I119" s="9"/>
      <c r="J119" s="9"/>
      <c r="K119" s="9"/>
      <c r="L119" s="9"/>
      <c r="M119" s="14"/>
      <c r="N119" s="9"/>
      <c r="O119" s="9"/>
      <c r="P119" s="9"/>
      <c r="Q119" s="5"/>
      <c r="R119" s="10"/>
      <c r="S119" s="10"/>
      <c r="T119" s="10"/>
      <c r="U119" s="11"/>
      <c r="V119" s="13"/>
      <c r="W119" s="13"/>
      <c r="X119" s="10"/>
    </row>
    <row r="120" spans="1:24" x14ac:dyDescent="0.2">
      <c r="A120" s="8"/>
      <c r="B120" s="14"/>
      <c r="C120" s="14"/>
      <c r="D120" s="9"/>
      <c r="E120" s="9"/>
      <c r="F120" s="9"/>
      <c r="G120" s="5"/>
      <c r="H120" s="9"/>
      <c r="I120" s="9"/>
      <c r="J120" s="9"/>
      <c r="K120" s="9"/>
      <c r="L120" s="9"/>
      <c r="M120" s="14"/>
      <c r="N120" s="9"/>
      <c r="O120" s="9"/>
      <c r="P120" s="9"/>
      <c r="Q120" s="5"/>
      <c r="R120" s="10"/>
      <c r="S120" s="10"/>
      <c r="T120" s="10"/>
      <c r="U120" s="11"/>
      <c r="V120" s="13"/>
      <c r="W120" s="13"/>
      <c r="X120" s="10"/>
    </row>
    <row r="121" spans="1:24" x14ac:dyDescent="0.2">
      <c r="A121" s="8"/>
      <c r="B121" s="14"/>
      <c r="C121" s="14"/>
      <c r="D121" s="9"/>
      <c r="E121" s="9"/>
      <c r="F121" s="9"/>
      <c r="G121" s="5"/>
      <c r="H121" s="9"/>
      <c r="I121" s="9"/>
      <c r="J121" s="9"/>
      <c r="K121" s="9"/>
      <c r="L121" s="9"/>
      <c r="M121" s="14"/>
      <c r="N121" s="9"/>
      <c r="O121" s="9"/>
      <c r="P121" s="9"/>
      <c r="Q121" s="5"/>
      <c r="R121" s="10"/>
      <c r="S121" s="10"/>
      <c r="T121" s="10"/>
      <c r="U121" s="11"/>
      <c r="V121" s="13"/>
      <c r="W121" s="13"/>
      <c r="X121" s="10"/>
    </row>
    <row r="122" spans="1:24" x14ac:dyDescent="0.2">
      <c r="A122" s="8"/>
      <c r="B122" s="14"/>
      <c r="C122" s="14"/>
      <c r="D122" s="9"/>
      <c r="E122" s="9"/>
      <c r="F122" s="9"/>
      <c r="G122" s="5"/>
      <c r="H122" s="9"/>
      <c r="I122" s="9"/>
      <c r="J122" s="9"/>
      <c r="K122" s="9"/>
      <c r="L122" s="9"/>
      <c r="M122" s="14"/>
      <c r="N122" s="9"/>
      <c r="O122" s="9"/>
      <c r="P122" s="9"/>
      <c r="Q122" s="5"/>
      <c r="R122" s="10"/>
      <c r="S122" s="10"/>
      <c r="T122" s="10"/>
      <c r="U122" s="11"/>
      <c r="V122" s="13"/>
      <c r="W122" s="13"/>
      <c r="X122" s="10"/>
    </row>
    <row r="123" spans="1:24" x14ac:dyDescent="0.2">
      <c r="A123" s="8"/>
      <c r="B123" s="14"/>
      <c r="C123" s="14"/>
      <c r="D123" s="9"/>
      <c r="E123" s="9"/>
      <c r="F123" s="9"/>
      <c r="G123" s="5"/>
      <c r="H123" s="9"/>
      <c r="I123" s="9"/>
      <c r="J123" s="9"/>
      <c r="K123" s="9"/>
      <c r="L123" s="9"/>
      <c r="M123" s="14"/>
      <c r="N123" s="9"/>
      <c r="O123" s="9"/>
      <c r="P123" s="9"/>
      <c r="Q123" s="5"/>
      <c r="R123" s="10"/>
      <c r="S123" s="10"/>
      <c r="T123" s="10"/>
      <c r="U123" s="11"/>
      <c r="V123" s="13"/>
      <c r="W123" s="13"/>
      <c r="X123" s="10"/>
    </row>
    <row r="124" spans="1:24" x14ac:dyDescent="0.2">
      <c r="A124" s="8"/>
      <c r="B124" s="14"/>
      <c r="C124" s="14"/>
      <c r="D124" s="9"/>
      <c r="E124" s="9"/>
      <c r="F124" s="9"/>
      <c r="G124" s="5"/>
      <c r="H124" s="9"/>
      <c r="I124" s="9"/>
      <c r="J124" s="9"/>
      <c r="K124" s="9"/>
      <c r="L124" s="9"/>
      <c r="M124" s="14"/>
      <c r="N124" s="9"/>
      <c r="O124" s="9"/>
      <c r="P124" s="9"/>
      <c r="Q124" s="5"/>
      <c r="R124" s="10"/>
      <c r="S124" s="10"/>
      <c r="T124" s="10"/>
      <c r="U124" s="11"/>
      <c r="V124" s="13"/>
      <c r="W124" s="13"/>
      <c r="X124" s="10"/>
    </row>
    <row r="125" spans="1:24" x14ac:dyDescent="0.2">
      <c r="A125" s="8"/>
      <c r="B125" s="14"/>
      <c r="C125" s="14"/>
      <c r="D125" s="9"/>
      <c r="E125" s="9"/>
      <c r="F125" s="9"/>
      <c r="G125" s="5"/>
      <c r="H125" s="9"/>
      <c r="I125" s="9"/>
      <c r="J125" s="9"/>
      <c r="K125" s="9"/>
      <c r="L125" s="9"/>
      <c r="M125" s="14"/>
      <c r="N125" s="9"/>
      <c r="O125" s="9"/>
      <c r="P125" s="9"/>
      <c r="Q125" s="5"/>
      <c r="R125" s="10"/>
      <c r="S125" s="10"/>
      <c r="T125" s="10"/>
      <c r="U125" s="11"/>
      <c r="V125" s="13"/>
      <c r="W125" s="13"/>
      <c r="X125" s="10"/>
    </row>
    <row r="126" spans="1:24" x14ac:dyDescent="0.2">
      <c r="A126" s="8"/>
      <c r="B126" s="14"/>
      <c r="C126" s="14"/>
      <c r="D126" s="9"/>
      <c r="E126" s="9"/>
      <c r="F126" s="9"/>
      <c r="G126" s="5"/>
      <c r="H126" s="9"/>
      <c r="I126" s="9"/>
      <c r="J126" s="9"/>
      <c r="K126" s="9"/>
      <c r="L126" s="9"/>
      <c r="M126" s="14"/>
      <c r="N126" s="9"/>
      <c r="O126" s="9"/>
      <c r="P126" s="9"/>
      <c r="Q126" s="5"/>
      <c r="R126" s="10"/>
      <c r="S126" s="10"/>
      <c r="T126" s="10"/>
      <c r="U126" s="11"/>
      <c r="V126" s="13"/>
      <c r="W126" s="13"/>
      <c r="X126" s="10"/>
    </row>
    <row r="127" spans="1:24" x14ac:dyDescent="0.2">
      <c r="A127" s="8"/>
      <c r="B127" s="14"/>
      <c r="C127" s="14"/>
      <c r="D127" s="9"/>
      <c r="E127" s="9"/>
      <c r="F127" s="9"/>
      <c r="G127" s="5"/>
      <c r="H127" s="9"/>
      <c r="I127" s="9"/>
      <c r="J127" s="9"/>
      <c r="K127" s="9"/>
      <c r="L127" s="9"/>
      <c r="M127" s="14"/>
      <c r="N127" s="9"/>
      <c r="O127" s="9"/>
      <c r="P127" s="9"/>
      <c r="Q127" s="5"/>
      <c r="R127" s="10"/>
      <c r="S127" s="10"/>
      <c r="T127" s="10"/>
      <c r="U127" s="11"/>
      <c r="V127" s="13"/>
      <c r="W127" s="13"/>
      <c r="X127" s="10"/>
    </row>
    <row r="128" spans="1:24" x14ac:dyDescent="0.2">
      <c r="A128" s="8"/>
      <c r="B128" s="14"/>
      <c r="C128" s="14"/>
      <c r="D128" s="9"/>
      <c r="E128" s="9"/>
      <c r="F128" s="9"/>
      <c r="G128" s="5"/>
      <c r="H128" s="9"/>
      <c r="I128" s="9"/>
      <c r="J128" s="9"/>
      <c r="K128" s="9"/>
      <c r="L128" s="9"/>
      <c r="M128" s="14"/>
      <c r="N128" s="9"/>
      <c r="O128" s="9"/>
      <c r="P128" s="9"/>
      <c r="Q128" s="5"/>
      <c r="R128" s="10"/>
      <c r="S128" s="10"/>
      <c r="T128" s="10"/>
      <c r="U128" s="11"/>
      <c r="V128" s="13"/>
      <c r="W128" s="13"/>
      <c r="X128" s="10"/>
    </row>
    <row r="129" spans="1:24" x14ac:dyDescent="0.2">
      <c r="A129" s="8"/>
      <c r="B129" s="14"/>
      <c r="C129" s="14"/>
      <c r="D129" s="9"/>
      <c r="E129" s="9"/>
      <c r="F129" s="9"/>
      <c r="G129" s="5"/>
      <c r="H129" s="9"/>
      <c r="I129" s="9"/>
      <c r="J129" s="9"/>
      <c r="K129" s="9"/>
      <c r="L129" s="9"/>
      <c r="M129" s="14"/>
      <c r="N129" s="9"/>
      <c r="O129" s="9"/>
      <c r="P129" s="9"/>
      <c r="Q129" s="5"/>
      <c r="R129" s="10"/>
      <c r="S129" s="10"/>
      <c r="T129" s="10"/>
      <c r="U129" s="11"/>
      <c r="V129" s="13"/>
      <c r="W129" s="13"/>
      <c r="X129" s="10"/>
    </row>
    <row r="130" spans="1:24" x14ac:dyDescent="0.2">
      <c r="A130" s="8"/>
      <c r="B130" s="14"/>
      <c r="C130" s="14"/>
      <c r="D130" s="9"/>
      <c r="E130" s="9"/>
      <c r="F130" s="9"/>
      <c r="G130" s="5"/>
      <c r="H130" s="9"/>
      <c r="I130" s="9"/>
      <c r="J130" s="9"/>
      <c r="K130" s="9"/>
      <c r="L130" s="9"/>
      <c r="M130" s="14"/>
      <c r="N130" s="9"/>
      <c r="O130" s="9"/>
      <c r="P130" s="9"/>
      <c r="Q130" s="5"/>
      <c r="R130" s="10"/>
      <c r="S130" s="10"/>
      <c r="T130" s="10"/>
      <c r="U130" s="11"/>
      <c r="V130" s="13"/>
      <c r="W130" s="13"/>
      <c r="X130" s="10"/>
    </row>
    <row r="131" spans="1:24" x14ac:dyDescent="0.2">
      <c r="A131" s="8"/>
      <c r="B131" s="14"/>
      <c r="C131" s="14"/>
      <c r="D131" s="9"/>
      <c r="E131" s="9"/>
      <c r="F131" s="9"/>
      <c r="G131" s="5"/>
      <c r="H131" s="9"/>
      <c r="I131" s="9"/>
      <c r="J131" s="9"/>
      <c r="K131" s="9"/>
      <c r="L131" s="9"/>
      <c r="M131" s="14"/>
      <c r="N131" s="9"/>
      <c r="O131" s="9"/>
      <c r="P131" s="9"/>
      <c r="Q131" s="5"/>
      <c r="R131" s="10"/>
      <c r="S131" s="10"/>
      <c r="T131" s="10"/>
      <c r="U131" s="11"/>
      <c r="V131" s="13"/>
      <c r="W131" s="13"/>
      <c r="X131" s="10"/>
    </row>
    <row r="132" spans="1:24" x14ac:dyDescent="0.2">
      <c r="A132" s="8"/>
      <c r="B132" s="14"/>
      <c r="C132" s="14"/>
      <c r="D132" s="9"/>
      <c r="E132" s="9"/>
      <c r="F132" s="9"/>
      <c r="G132" s="5"/>
      <c r="H132" s="9"/>
      <c r="I132" s="9"/>
      <c r="J132" s="9"/>
      <c r="K132" s="9"/>
      <c r="L132" s="9"/>
      <c r="M132" s="14"/>
      <c r="N132" s="9"/>
      <c r="O132" s="9"/>
      <c r="P132" s="9"/>
      <c r="Q132" s="5"/>
      <c r="R132" s="10"/>
      <c r="S132" s="10"/>
      <c r="T132" s="10"/>
      <c r="U132" s="11"/>
      <c r="V132" s="13"/>
      <c r="W132" s="13"/>
      <c r="X132" s="10"/>
    </row>
    <row r="133" spans="1:24" x14ac:dyDescent="0.2">
      <c r="A133" s="8"/>
      <c r="B133" s="14"/>
      <c r="C133" s="14"/>
      <c r="D133" s="9"/>
      <c r="E133" s="9"/>
      <c r="F133" s="9"/>
      <c r="G133" s="5"/>
      <c r="H133" s="9"/>
      <c r="I133" s="9"/>
      <c r="J133" s="9"/>
      <c r="K133" s="9"/>
      <c r="L133" s="9"/>
      <c r="M133" s="14"/>
      <c r="N133" s="9"/>
      <c r="O133" s="9"/>
      <c r="P133" s="9"/>
      <c r="Q133" s="5"/>
      <c r="R133" s="10"/>
      <c r="S133" s="10"/>
      <c r="T133" s="10"/>
      <c r="U133" s="11"/>
      <c r="V133" s="13"/>
      <c r="W133" s="13"/>
      <c r="X133" s="10"/>
    </row>
    <row r="134" spans="1:24" x14ac:dyDescent="0.2">
      <c r="A134" s="8"/>
      <c r="B134" s="14"/>
      <c r="C134" s="14"/>
      <c r="D134" s="9"/>
      <c r="E134" s="9"/>
      <c r="F134" s="9"/>
      <c r="G134" s="5"/>
      <c r="H134" s="9"/>
      <c r="I134" s="9"/>
      <c r="J134" s="9"/>
      <c r="K134" s="9"/>
      <c r="L134" s="9"/>
      <c r="M134" s="14"/>
      <c r="N134" s="9"/>
      <c r="O134" s="9"/>
      <c r="P134" s="9"/>
      <c r="Q134" s="5"/>
      <c r="R134" s="10"/>
      <c r="S134" s="10"/>
      <c r="T134" s="10"/>
      <c r="U134" s="11"/>
      <c r="V134" s="13"/>
      <c r="W134" s="13"/>
      <c r="X134" s="10"/>
    </row>
    <row r="135" spans="1:24" x14ac:dyDescent="0.2">
      <c r="A135" s="8"/>
      <c r="B135" s="14"/>
      <c r="C135" s="14"/>
      <c r="D135" s="9"/>
      <c r="E135" s="9"/>
      <c r="F135" s="9"/>
      <c r="G135" s="5"/>
      <c r="H135" s="9"/>
      <c r="I135" s="9"/>
      <c r="J135" s="9"/>
      <c r="K135" s="9"/>
      <c r="L135" s="9"/>
      <c r="M135" s="14"/>
      <c r="N135" s="9"/>
      <c r="O135" s="9"/>
      <c r="P135" s="9"/>
      <c r="Q135" s="5"/>
      <c r="R135" s="10"/>
      <c r="S135" s="10"/>
      <c r="T135" s="10"/>
      <c r="U135" s="11"/>
      <c r="V135" s="13"/>
      <c r="W135" s="13"/>
      <c r="X135" s="10"/>
    </row>
    <row r="136" spans="1:24" x14ac:dyDescent="0.2">
      <c r="A136" s="8"/>
      <c r="B136" s="14"/>
      <c r="C136" s="14"/>
      <c r="D136" s="9"/>
      <c r="E136" s="9"/>
      <c r="F136" s="9"/>
      <c r="G136" s="5"/>
      <c r="H136" s="9"/>
      <c r="I136" s="9"/>
      <c r="J136" s="9"/>
      <c r="K136" s="9"/>
      <c r="L136" s="9"/>
      <c r="M136" s="14"/>
      <c r="N136" s="9"/>
      <c r="O136" s="9"/>
      <c r="P136" s="9"/>
      <c r="Q136" s="5"/>
      <c r="R136" s="10"/>
      <c r="S136" s="10"/>
      <c r="T136" s="10"/>
      <c r="U136" s="11"/>
      <c r="V136" s="13"/>
      <c r="W136" s="13"/>
      <c r="X136" s="10"/>
    </row>
    <row r="137" spans="1:24" x14ac:dyDescent="0.2">
      <c r="A137" s="8"/>
      <c r="B137" s="14"/>
      <c r="C137" s="14"/>
      <c r="D137" s="9"/>
      <c r="E137" s="9"/>
      <c r="F137" s="9"/>
      <c r="G137" s="5"/>
      <c r="H137" s="9"/>
      <c r="I137" s="9"/>
      <c r="J137" s="9"/>
      <c r="K137" s="9"/>
      <c r="L137" s="9"/>
      <c r="M137" s="14"/>
      <c r="N137" s="9"/>
      <c r="O137" s="9"/>
      <c r="P137" s="9"/>
      <c r="Q137" s="5"/>
      <c r="R137" s="10"/>
      <c r="S137" s="10"/>
      <c r="T137" s="10"/>
      <c r="U137" s="11"/>
      <c r="V137" s="13"/>
      <c r="W137" s="13"/>
      <c r="X137" s="10"/>
    </row>
    <row r="138" spans="1:24" x14ac:dyDescent="0.2">
      <c r="A138" s="8"/>
      <c r="B138" s="14"/>
      <c r="C138" s="14"/>
      <c r="D138" s="9"/>
      <c r="E138" s="9"/>
      <c r="F138" s="9"/>
      <c r="G138" s="5"/>
      <c r="H138" s="9"/>
      <c r="I138" s="9"/>
      <c r="J138" s="9"/>
      <c r="K138" s="9"/>
      <c r="L138" s="9"/>
      <c r="M138" s="14"/>
      <c r="N138" s="9"/>
      <c r="O138" s="9"/>
      <c r="P138" s="9"/>
      <c r="Q138" s="5"/>
      <c r="R138" s="10"/>
      <c r="S138" s="10"/>
      <c r="T138" s="10"/>
      <c r="U138" s="11"/>
      <c r="V138" s="13"/>
      <c r="W138" s="13"/>
      <c r="X138" s="10"/>
    </row>
    <row r="139" spans="1:24" x14ac:dyDescent="0.2">
      <c r="A139" s="8"/>
      <c r="B139" s="14"/>
      <c r="C139" s="14"/>
      <c r="D139" s="9"/>
      <c r="E139" s="9"/>
      <c r="F139" s="9"/>
      <c r="G139" s="5"/>
      <c r="H139" s="9"/>
      <c r="I139" s="9"/>
      <c r="J139" s="9"/>
      <c r="K139" s="9"/>
      <c r="L139" s="9"/>
      <c r="M139" s="14"/>
      <c r="N139" s="9"/>
      <c r="O139" s="9"/>
      <c r="P139" s="9"/>
      <c r="Q139" s="5"/>
      <c r="R139" s="10"/>
      <c r="S139" s="10"/>
      <c r="T139" s="10"/>
      <c r="U139" s="11"/>
      <c r="V139" s="13"/>
      <c r="W139" s="13"/>
      <c r="X139" s="10"/>
    </row>
    <row r="140" spans="1:24" x14ac:dyDescent="0.2">
      <c r="A140" s="8"/>
      <c r="B140" s="14"/>
      <c r="C140" s="14"/>
      <c r="D140" s="9"/>
      <c r="E140" s="9"/>
      <c r="F140" s="9"/>
      <c r="G140" s="5"/>
      <c r="H140" s="9"/>
      <c r="I140" s="9"/>
      <c r="J140" s="9"/>
      <c r="K140" s="9"/>
      <c r="L140" s="9"/>
      <c r="M140" s="14"/>
      <c r="N140" s="9"/>
      <c r="O140" s="9"/>
      <c r="P140" s="9"/>
      <c r="Q140" s="5"/>
      <c r="R140" s="10"/>
      <c r="S140" s="10"/>
      <c r="T140" s="10"/>
      <c r="U140" s="11"/>
      <c r="V140" s="13"/>
      <c r="W140" s="13"/>
      <c r="X140" s="10"/>
    </row>
    <row r="141" spans="1:24" x14ac:dyDescent="0.2">
      <c r="A141" s="8"/>
      <c r="B141" s="14"/>
      <c r="C141" s="14"/>
      <c r="D141" s="9"/>
      <c r="E141" s="9"/>
      <c r="F141" s="9"/>
      <c r="G141" s="5"/>
      <c r="H141" s="9"/>
      <c r="I141" s="9"/>
      <c r="J141" s="9"/>
      <c r="K141" s="9"/>
      <c r="L141" s="9"/>
      <c r="M141" s="14"/>
      <c r="N141" s="9"/>
      <c r="O141" s="9"/>
      <c r="P141" s="9"/>
      <c r="Q141" s="5"/>
      <c r="R141" s="10"/>
      <c r="S141" s="10"/>
      <c r="T141" s="10"/>
      <c r="U141" s="11"/>
      <c r="V141" s="13"/>
      <c r="W141" s="13"/>
      <c r="X141" s="10"/>
    </row>
    <row r="142" spans="1:24" x14ac:dyDescent="0.2">
      <c r="A142" s="8"/>
      <c r="B142" s="14"/>
      <c r="C142" s="14"/>
      <c r="D142" s="9"/>
      <c r="E142" s="9"/>
      <c r="F142" s="9"/>
      <c r="G142" s="5"/>
      <c r="H142" s="9"/>
      <c r="I142" s="9"/>
      <c r="J142" s="9"/>
      <c r="K142" s="9"/>
      <c r="L142" s="9"/>
      <c r="M142" s="14"/>
      <c r="N142" s="9"/>
      <c r="O142" s="9"/>
      <c r="P142" s="9"/>
      <c r="Q142" s="5"/>
      <c r="R142" s="10"/>
      <c r="S142" s="10"/>
      <c r="T142" s="10"/>
      <c r="U142" s="11"/>
      <c r="V142" s="13"/>
      <c r="W142" s="13"/>
      <c r="X142" s="10"/>
    </row>
    <row r="143" spans="1:24" x14ac:dyDescent="0.2">
      <c r="A143" s="8"/>
      <c r="B143" s="14"/>
      <c r="C143" s="14"/>
      <c r="D143" s="9"/>
      <c r="E143" s="9"/>
      <c r="F143" s="9"/>
      <c r="G143" s="5"/>
      <c r="H143" s="9"/>
      <c r="I143" s="9"/>
      <c r="J143" s="9"/>
      <c r="K143" s="9"/>
      <c r="L143" s="9"/>
      <c r="M143" s="14"/>
      <c r="N143" s="9"/>
      <c r="O143" s="9"/>
      <c r="P143" s="9"/>
      <c r="Q143" s="5"/>
      <c r="R143" s="10"/>
      <c r="S143" s="10"/>
      <c r="T143" s="10"/>
      <c r="U143" s="11"/>
      <c r="V143" s="13"/>
      <c r="W143" s="13"/>
      <c r="X143" s="10"/>
    </row>
    <row r="144" spans="1:24" x14ac:dyDescent="0.2">
      <c r="A144" s="8"/>
      <c r="B144" s="14"/>
      <c r="C144" s="14"/>
      <c r="D144" s="9"/>
      <c r="E144" s="9"/>
      <c r="F144" s="9"/>
      <c r="G144" s="5"/>
      <c r="H144" s="9"/>
      <c r="I144" s="9"/>
      <c r="J144" s="9"/>
      <c r="K144" s="9"/>
      <c r="L144" s="9"/>
      <c r="M144" s="14"/>
      <c r="N144" s="9"/>
      <c r="O144" s="9"/>
      <c r="P144" s="9"/>
      <c r="Q144" s="5"/>
      <c r="R144" s="10"/>
      <c r="S144" s="10"/>
      <c r="T144" s="10"/>
      <c r="U144" s="11"/>
      <c r="V144" s="13"/>
      <c r="W144" s="13"/>
      <c r="X144" s="10"/>
    </row>
    <row r="145" spans="1:24" x14ac:dyDescent="0.2">
      <c r="A145" s="8"/>
      <c r="B145" s="14"/>
      <c r="C145" s="14"/>
      <c r="D145" s="9"/>
      <c r="E145" s="9"/>
      <c r="F145" s="9"/>
      <c r="G145" s="5"/>
      <c r="H145" s="9"/>
      <c r="I145" s="9"/>
      <c r="J145" s="9"/>
      <c r="K145" s="9"/>
      <c r="L145" s="9"/>
      <c r="M145" s="14"/>
      <c r="N145" s="9"/>
      <c r="O145" s="9"/>
      <c r="P145" s="9"/>
      <c r="Q145" s="5"/>
      <c r="R145" s="10"/>
      <c r="S145" s="10"/>
      <c r="T145" s="10"/>
      <c r="U145" s="11"/>
      <c r="V145" s="13"/>
      <c r="W145" s="13"/>
      <c r="X145" s="10"/>
    </row>
    <row r="146" spans="1:24" x14ac:dyDescent="0.2">
      <c r="A146" s="8"/>
      <c r="B146" s="14"/>
      <c r="C146" s="14"/>
      <c r="D146" s="9"/>
      <c r="E146" s="9"/>
      <c r="F146" s="9"/>
      <c r="G146" s="5"/>
      <c r="H146" s="9"/>
      <c r="I146" s="9"/>
      <c r="J146" s="9"/>
      <c r="K146" s="9"/>
      <c r="L146" s="9"/>
      <c r="M146" s="14"/>
      <c r="N146" s="9"/>
      <c r="O146" s="9"/>
      <c r="P146" s="9"/>
      <c r="Q146" s="5"/>
      <c r="R146" s="10"/>
      <c r="S146" s="10"/>
      <c r="T146" s="10"/>
      <c r="U146" s="11"/>
      <c r="V146" s="12"/>
      <c r="W146" s="12"/>
      <c r="X146" s="10"/>
    </row>
  </sheetData>
  <phoneticPr fontId="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7" r:id="rId4" name="Button 11">
              <controlPr defaultSize="0" print="0" autoFill="0" autoPict="0" macro="[0]!Reset_US">
                <anchor moveWithCells="1" sizeWithCells="1">
                  <from>
                    <xdr:col>24</xdr:col>
                    <xdr:colOff>85725</xdr:colOff>
                    <xdr:row>10</xdr:row>
                    <xdr:rowOff>57150</xdr:rowOff>
                  </from>
                  <to>
                    <xdr:col>25</xdr:col>
                    <xdr:colOff>247650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5" name="Button 12">
              <controlPr defaultSize="0" print="0" autoFill="0" autoPict="0" macro="[0]!Solve_US">
                <anchor moveWithCells="1" sizeWithCells="1">
                  <from>
                    <xdr:col>24</xdr:col>
                    <xdr:colOff>66675</xdr:colOff>
                    <xdr:row>12</xdr:row>
                    <xdr:rowOff>57150</xdr:rowOff>
                  </from>
                  <to>
                    <xdr:col>25</xdr:col>
                    <xdr:colOff>238125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9FC80-F9AB-4EC1-B7BA-46D3054BDED9}">
  <sheetPr codeName="Sheet15"/>
  <dimension ref="A1:AD146"/>
  <sheetViews>
    <sheetView zoomScaleNormal="100" workbookViewId="0"/>
  </sheetViews>
  <sheetFormatPr defaultRowHeight="12.75" x14ac:dyDescent="0.2"/>
  <cols>
    <col min="3" max="4" width="9.28515625" customWidth="1"/>
    <col min="5" max="23" width="9.140625" customWidth="1"/>
    <col min="24" max="24" width="11" bestFit="1" customWidth="1"/>
  </cols>
  <sheetData>
    <row r="1" spans="1:30" ht="16.5" thickBot="1" x14ac:dyDescent="0.35">
      <c r="A1" s="26">
        <v>1</v>
      </c>
      <c r="B1" s="26">
        <v>2</v>
      </c>
      <c r="C1" s="26">
        <v>3</v>
      </c>
      <c r="D1" s="26">
        <v>4</v>
      </c>
      <c r="E1" s="26">
        <v>5</v>
      </c>
      <c r="F1" s="26">
        <v>6</v>
      </c>
      <c r="G1" s="26">
        <v>7</v>
      </c>
      <c r="H1" s="26">
        <v>8</v>
      </c>
      <c r="I1" s="26">
        <v>9</v>
      </c>
      <c r="J1" s="26">
        <v>10</v>
      </c>
      <c r="K1" s="26">
        <v>11</v>
      </c>
      <c r="L1" s="26">
        <v>12</v>
      </c>
      <c r="M1" s="26">
        <v>13</v>
      </c>
      <c r="N1" s="26">
        <v>14</v>
      </c>
      <c r="O1" s="26">
        <v>15</v>
      </c>
      <c r="P1" s="26">
        <v>16</v>
      </c>
      <c r="Q1" s="26">
        <v>17</v>
      </c>
      <c r="R1" s="26">
        <v>18</v>
      </c>
      <c r="S1" s="26">
        <v>19</v>
      </c>
      <c r="T1" s="26">
        <v>20</v>
      </c>
      <c r="U1" s="26">
        <v>21</v>
      </c>
      <c r="V1" s="26">
        <v>22</v>
      </c>
      <c r="W1" s="26">
        <v>23</v>
      </c>
      <c r="Y1" s="1" t="s">
        <v>16</v>
      </c>
      <c r="Z1" s="34">
        <f>'Grid-BC'!B15</f>
        <v>1000</v>
      </c>
      <c r="AA1" s="1" t="s">
        <v>13</v>
      </c>
    </row>
    <row r="2" spans="1:30" ht="17.25" thickTop="1" thickBot="1" x14ac:dyDescent="0.25">
      <c r="A2" s="14" t="s">
        <v>0</v>
      </c>
      <c r="B2" s="14" t="s">
        <v>1</v>
      </c>
      <c r="C2" s="14" t="s">
        <v>2</v>
      </c>
      <c r="D2" s="14" t="s">
        <v>52</v>
      </c>
      <c r="E2" s="14" t="s">
        <v>51</v>
      </c>
      <c r="F2" s="14" t="s">
        <v>61</v>
      </c>
      <c r="G2" s="14" t="s">
        <v>63</v>
      </c>
      <c r="H2" s="14" t="s">
        <v>3</v>
      </c>
      <c r="I2" s="14" t="s">
        <v>6</v>
      </c>
      <c r="J2" s="14" t="s">
        <v>57</v>
      </c>
      <c r="K2" s="14" t="s">
        <v>82</v>
      </c>
      <c r="L2" s="14" t="s">
        <v>5</v>
      </c>
      <c r="M2" s="14" t="s">
        <v>20</v>
      </c>
      <c r="N2" s="14" t="s">
        <v>4</v>
      </c>
      <c r="O2" s="14" t="s">
        <v>21</v>
      </c>
      <c r="P2" s="14" t="s">
        <v>12</v>
      </c>
      <c r="Q2" s="14" t="s">
        <v>30</v>
      </c>
      <c r="R2" s="14" t="s">
        <v>34</v>
      </c>
      <c r="S2" s="14" t="s">
        <v>35</v>
      </c>
      <c r="T2" s="14" t="s">
        <v>22</v>
      </c>
      <c r="U2" s="14" t="s">
        <v>33</v>
      </c>
      <c r="V2" s="14" t="s">
        <v>31</v>
      </c>
      <c r="W2" s="14" t="s">
        <v>37</v>
      </c>
      <c r="Y2" t="s">
        <v>7</v>
      </c>
      <c r="Z2" s="34">
        <f>'Grid-BC'!B11</f>
        <v>9.81</v>
      </c>
      <c r="AA2" t="s">
        <v>11</v>
      </c>
    </row>
    <row r="3" spans="1:30" ht="15.75" thickTop="1" thickBot="1" x14ac:dyDescent="0.25">
      <c r="A3" s="8">
        <v>1</v>
      </c>
      <c r="B3" s="14">
        <v>100</v>
      </c>
      <c r="C3" s="14">
        <v>10.635</v>
      </c>
      <c r="D3" s="10">
        <v>10.535</v>
      </c>
      <c r="E3" s="8">
        <v>10</v>
      </c>
      <c r="F3" s="20">
        <v>0</v>
      </c>
      <c r="G3" s="20">
        <v>0</v>
      </c>
      <c r="H3" s="9">
        <v>0.52986626832442085</v>
      </c>
      <c r="I3" s="9">
        <f>C3+H3</f>
        <v>11.16486626832442</v>
      </c>
      <c r="J3" s="9">
        <f>$Z$9</f>
        <v>20</v>
      </c>
      <c r="K3" s="10">
        <f>'Grid-BC'!$F$15</f>
        <v>1.4508717894715074E-2</v>
      </c>
      <c r="L3" s="9">
        <f>E3+H3*(F3+G3)</f>
        <v>10</v>
      </c>
      <c r="M3" s="9">
        <f>(H3/2)*(E3+L3)</f>
        <v>5.2986626832442081</v>
      </c>
      <c r="N3" s="9">
        <f>E3+H3*(SQRT(1+F3^2)+SQRT(1+G3^2))</f>
        <v>11.059732536648841</v>
      </c>
      <c r="O3" s="9">
        <f>M3/N3</f>
        <v>0.47909501117553532</v>
      </c>
      <c r="P3" s="9">
        <f>J3/M3</f>
        <v>3.7745373116966592</v>
      </c>
      <c r="Q3" s="9">
        <f>SQRT($Z$2*M3/L3)</f>
        <v>2.2799096675663639</v>
      </c>
      <c r="R3" s="5">
        <f t="shared" ref="R3" si="0">P3/Q3</f>
        <v>1.6555644135347258</v>
      </c>
      <c r="S3" s="10">
        <f>C3+H3+(P3^2/(2*$Z$2))</f>
        <v>11.891019780933505</v>
      </c>
      <c r="T3" s="12">
        <f>((J3*K3)/(M3*O3^(2/3)))^2</f>
        <v>7.999999999999903E-3</v>
      </c>
      <c r="U3" s="13">
        <f>(S3-S4-0.5*(B4-B3)*(T3+T4))^2</f>
        <v>1.3524843034459364E-31</v>
      </c>
      <c r="V3" s="5">
        <f>(H3/3)*(2*E3+L3)/(E3+L3)</f>
        <v>0.26493313416221043</v>
      </c>
      <c r="W3" s="5">
        <f>$Z$2*M3*V3+(J3^2)/M3</f>
        <v>89.261939000142888</v>
      </c>
      <c r="Y3" t="s">
        <v>25</v>
      </c>
      <c r="Z3" s="35">
        <f>'Grid-BC'!B16</f>
        <v>9.9999999999999995E-7</v>
      </c>
      <c r="AA3" t="s">
        <v>26</v>
      </c>
      <c r="AD3" s="7"/>
    </row>
    <row r="4" spans="1:30" ht="15.75" thickTop="1" thickBot="1" x14ac:dyDescent="0.25">
      <c r="A4" s="8">
        <v>2</v>
      </c>
      <c r="B4" s="14">
        <v>105</v>
      </c>
      <c r="C4" s="14">
        <v>10.595000000000001</v>
      </c>
      <c r="D4" s="10">
        <v>10.495000000000001</v>
      </c>
      <c r="E4" s="8">
        <v>10</v>
      </c>
      <c r="F4" s="20">
        <v>0</v>
      </c>
      <c r="G4" s="20">
        <v>0</v>
      </c>
      <c r="H4" s="9">
        <v>0.52986626832442085</v>
      </c>
      <c r="I4" s="9">
        <f t="shared" ref="I4:I32" si="1">C4+H4</f>
        <v>11.124866268324421</v>
      </c>
      <c r="J4" s="9">
        <f t="shared" ref="J4:J32" si="2">$Z$9</f>
        <v>20</v>
      </c>
      <c r="K4" s="10">
        <f>'Grid-BC'!$F$15</f>
        <v>1.4508717894715074E-2</v>
      </c>
      <c r="L4" s="9">
        <f t="shared" ref="L4:L32" si="3">E4+H4*(F4+G4)</f>
        <v>10</v>
      </c>
      <c r="M4" s="9">
        <f t="shared" ref="M4:M32" si="4">(H4/2)*(E4+L4)</f>
        <v>5.2986626832442081</v>
      </c>
      <c r="N4" s="9">
        <f t="shared" ref="N4:N32" si="5">E4+H4*(SQRT(1+F4^2)+SQRT(1+G4^2))</f>
        <v>11.059732536648841</v>
      </c>
      <c r="O4" s="9">
        <f t="shared" ref="O4:O32" si="6">M4/N4</f>
        <v>0.47909501117553532</v>
      </c>
      <c r="P4" s="9">
        <f t="shared" ref="P4:P32" si="7">J4/M4</f>
        <v>3.7745373116966592</v>
      </c>
      <c r="Q4" s="9">
        <f t="shared" ref="Q4:Q32" si="8">SQRT($Z$2*M4/L4)</f>
        <v>2.2799096675663639</v>
      </c>
      <c r="R4" s="5">
        <f t="shared" ref="R4:R32" si="9">P4/Q4</f>
        <v>1.6555644135347258</v>
      </c>
      <c r="S4" s="10">
        <f t="shared" ref="S4:S32" si="10">C4+H4+(P4^2/(2*$Z$2))</f>
        <v>11.851019780933505</v>
      </c>
      <c r="T4" s="12">
        <f t="shared" ref="T4:T32" si="11">((J4*K4)/(M4*O4^(2/3)))^2</f>
        <v>7.999999999999903E-3</v>
      </c>
      <c r="U4" s="13">
        <f t="shared" ref="U4:U31" si="12">(S4-S5-0.5*(B5-B4)*(T4+T5))^2</f>
        <v>1.3524843034459364E-31</v>
      </c>
      <c r="V4" s="5">
        <f t="shared" ref="V4:V32" si="13">(H4/3)*(2*E4+L4)/(E4+L4)</f>
        <v>0.26493313416221043</v>
      </c>
      <c r="W4" s="5">
        <f t="shared" ref="W4:W32" si="14">$Z$2*M4*V4+(J4^2)/M4</f>
        <v>89.261939000142888</v>
      </c>
      <c r="X4" s="25"/>
      <c r="Y4" t="s">
        <v>10</v>
      </c>
      <c r="Z4" s="37">
        <f>'Grid-BC'!F15</f>
        <v>1.4508717894715074E-2</v>
      </c>
      <c r="AA4" t="s">
        <v>19</v>
      </c>
      <c r="AD4" s="7"/>
    </row>
    <row r="5" spans="1:30" ht="13.5" thickTop="1" x14ac:dyDescent="0.2">
      <c r="A5" s="8">
        <v>3</v>
      </c>
      <c r="B5" s="14">
        <v>110</v>
      </c>
      <c r="C5" s="14">
        <v>10.555000000000001</v>
      </c>
      <c r="D5" s="10">
        <v>10.455000000000002</v>
      </c>
      <c r="E5" s="8">
        <v>10</v>
      </c>
      <c r="F5" s="20">
        <v>0</v>
      </c>
      <c r="G5" s="20">
        <v>0</v>
      </c>
      <c r="H5" s="9">
        <v>0.52986626832442085</v>
      </c>
      <c r="I5" s="9">
        <f t="shared" si="1"/>
        <v>11.084866268324422</v>
      </c>
      <c r="J5" s="9">
        <f t="shared" si="2"/>
        <v>20</v>
      </c>
      <c r="K5" s="10">
        <f>'Grid-BC'!$F$15</f>
        <v>1.4508717894715074E-2</v>
      </c>
      <c r="L5" s="9">
        <f t="shared" si="3"/>
        <v>10</v>
      </c>
      <c r="M5" s="9">
        <f t="shared" si="4"/>
        <v>5.2986626832442081</v>
      </c>
      <c r="N5" s="9">
        <f t="shared" si="5"/>
        <v>11.059732536648841</v>
      </c>
      <c r="O5" s="9">
        <f t="shared" si="6"/>
        <v>0.47909501117553532</v>
      </c>
      <c r="P5" s="9">
        <f t="shared" si="7"/>
        <v>3.7745373116966592</v>
      </c>
      <c r="Q5" s="9">
        <f t="shared" si="8"/>
        <v>2.2799096675663639</v>
      </c>
      <c r="R5" s="5">
        <f t="shared" si="9"/>
        <v>1.6555644135347258</v>
      </c>
      <c r="S5" s="10">
        <f t="shared" si="10"/>
        <v>11.811019780933506</v>
      </c>
      <c r="T5" s="12">
        <f t="shared" si="11"/>
        <v>7.999999999999903E-3</v>
      </c>
      <c r="U5" s="13">
        <f t="shared" si="12"/>
        <v>1.3524843034459364E-31</v>
      </c>
      <c r="V5" s="5">
        <f t="shared" si="13"/>
        <v>0.26493313416221043</v>
      </c>
      <c r="W5" s="5">
        <f t="shared" si="14"/>
        <v>89.261939000142888</v>
      </c>
      <c r="X5" s="25"/>
      <c r="AD5" s="4"/>
    </row>
    <row r="6" spans="1:30" x14ac:dyDescent="0.2">
      <c r="A6" s="8">
        <v>4</v>
      </c>
      <c r="B6" s="14">
        <v>115</v>
      </c>
      <c r="C6" s="14">
        <v>10.515000000000002</v>
      </c>
      <c r="D6" s="10">
        <v>10.415000000000003</v>
      </c>
      <c r="E6" s="8">
        <v>10</v>
      </c>
      <c r="F6" s="20">
        <v>0</v>
      </c>
      <c r="G6" s="20">
        <v>0</v>
      </c>
      <c r="H6" s="9">
        <v>0.52986626832442085</v>
      </c>
      <c r="I6" s="9">
        <f t="shared" si="1"/>
        <v>11.044866268324423</v>
      </c>
      <c r="J6" s="9">
        <f t="shared" si="2"/>
        <v>20</v>
      </c>
      <c r="K6" s="10">
        <f>'Grid-BC'!$F$15</f>
        <v>1.4508717894715074E-2</v>
      </c>
      <c r="L6" s="9">
        <f t="shared" si="3"/>
        <v>10</v>
      </c>
      <c r="M6" s="9">
        <f t="shared" si="4"/>
        <v>5.2986626832442081</v>
      </c>
      <c r="N6" s="9">
        <f t="shared" si="5"/>
        <v>11.059732536648841</v>
      </c>
      <c r="O6" s="9">
        <f t="shared" si="6"/>
        <v>0.47909501117553532</v>
      </c>
      <c r="P6" s="9">
        <f t="shared" si="7"/>
        <v>3.7745373116966592</v>
      </c>
      <c r="Q6" s="9">
        <f t="shared" si="8"/>
        <v>2.2799096675663639</v>
      </c>
      <c r="R6" s="5">
        <f t="shared" si="9"/>
        <v>1.6555644135347258</v>
      </c>
      <c r="S6" s="10">
        <f t="shared" si="10"/>
        <v>11.771019780933507</v>
      </c>
      <c r="T6" s="12">
        <f t="shared" si="11"/>
        <v>7.999999999999903E-3</v>
      </c>
      <c r="U6" s="13">
        <f t="shared" si="12"/>
        <v>1.3524843034459364E-31</v>
      </c>
      <c r="V6" s="5">
        <f t="shared" si="13"/>
        <v>0.26493313416221043</v>
      </c>
      <c r="W6" s="5">
        <f t="shared" si="14"/>
        <v>89.261939000142888</v>
      </c>
      <c r="X6" s="25"/>
    </row>
    <row r="7" spans="1:30" x14ac:dyDescent="0.2">
      <c r="A7" s="8">
        <v>5</v>
      </c>
      <c r="B7" s="14">
        <v>120</v>
      </c>
      <c r="C7" s="14">
        <v>10.475000000000003</v>
      </c>
      <c r="D7" s="10">
        <v>10.375000000000004</v>
      </c>
      <c r="E7" s="8">
        <v>10</v>
      </c>
      <c r="F7" s="20">
        <v>0</v>
      </c>
      <c r="G7" s="20">
        <v>0</v>
      </c>
      <c r="H7" s="9">
        <v>0.52986626832442085</v>
      </c>
      <c r="I7" s="9">
        <f t="shared" si="1"/>
        <v>11.004866268324424</v>
      </c>
      <c r="J7" s="9">
        <f t="shared" si="2"/>
        <v>20</v>
      </c>
      <c r="K7" s="10">
        <f>'Grid-BC'!$F$15</f>
        <v>1.4508717894715074E-2</v>
      </c>
      <c r="L7" s="9">
        <f t="shared" si="3"/>
        <v>10</v>
      </c>
      <c r="M7" s="9">
        <f t="shared" si="4"/>
        <v>5.2986626832442081</v>
      </c>
      <c r="N7" s="9">
        <f t="shared" si="5"/>
        <v>11.059732536648841</v>
      </c>
      <c r="O7" s="9">
        <f t="shared" si="6"/>
        <v>0.47909501117553532</v>
      </c>
      <c r="P7" s="9">
        <f t="shared" si="7"/>
        <v>3.7745373116966592</v>
      </c>
      <c r="Q7" s="9">
        <f t="shared" si="8"/>
        <v>2.2799096675663639</v>
      </c>
      <c r="R7" s="5">
        <f t="shared" si="9"/>
        <v>1.6555644135347258</v>
      </c>
      <c r="S7" s="10">
        <f t="shared" si="10"/>
        <v>11.731019780933508</v>
      </c>
      <c r="T7" s="12">
        <f t="shared" si="11"/>
        <v>7.999999999999903E-3</v>
      </c>
      <c r="U7" s="13">
        <f t="shared" si="12"/>
        <v>1.3524843034459364E-31</v>
      </c>
      <c r="V7" s="5">
        <f t="shared" si="13"/>
        <v>0.26493313416221043</v>
      </c>
      <c r="W7" s="5">
        <f t="shared" si="14"/>
        <v>89.261939000142888</v>
      </c>
      <c r="X7" s="25"/>
      <c r="Y7" s="21" t="s">
        <v>64</v>
      </c>
      <c r="AC7" s="3"/>
    </row>
    <row r="8" spans="1:30" ht="13.5" thickBot="1" x14ac:dyDescent="0.25">
      <c r="A8" s="8">
        <v>6</v>
      </c>
      <c r="B8" s="14">
        <v>125</v>
      </c>
      <c r="C8" s="14">
        <v>10.435000000000004</v>
      </c>
      <c r="D8" s="10">
        <v>10.335000000000004</v>
      </c>
      <c r="E8" s="8">
        <v>10</v>
      </c>
      <c r="F8" s="20">
        <v>0</v>
      </c>
      <c r="G8" s="20">
        <v>0</v>
      </c>
      <c r="H8" s="9">
        <v>0.52986626832442085</v>
      </c>
      <c r="I8" s="9">
        <f t="shared" si="1"/>
        <v>10.964866268324425</v>
      </c>
      <c r="J8" s="9">
        <f t="shared" si="2"/>
        <v>20</v>
      </c>
      <c r="K8" s="10">
        <f>'Grid-BC'!$F$15</f>
        <v>1.4508717894715074E-2</v>
      </c>
      <c r="L8" s="9">
        <f t="shared" si="3"/>
        <v>10</v>
      </c>
      <c r="M8" s="9">
        <f t="shared" si="4"/>
        <v>5.2986626832442081</v>
      </c>
      <c r="N8" s="9">
        <f t="shared" si="5"/>
        <v>11.059732536648841</v>
      </c>
      <c r="O8" s="9">
        <f t="shared" si="6"/>
        <v>0.47909501117553532</v>
      </c>
      <c r="P8" s="9">
        <f t="shared" si="7"/>
        <v>3.7745373116966592</v>
      </c>
      <c r="Q8" s="9">
        <f t="shared" si="8"/>
        <v>2.2799096675663639</v>
      </c>
      <c r="R8" s="5">
        <f t="shared" si="9"/>
        <v>1.6555644135347258</v>
      </c>
      <c r="S8" s="10">
        <f t="shared" si="10"/>
        <v>11.691019780933509</v>
      </c>
      <c r="T8" s="12">
        <f t="shared" si="11"/>
        <v>7.999999999999903E-3</v>
      </c>
      <c r="U8" s="13">
        <f t="shared" si="12"/>
        <v>1.3524843034459364E-31</v>
      </c>
      <c r="V8" s="5">
        <f t="shared" si="13"/>
        <v>0.26493313416221043</v>
      </c>
      <c r="W8" s="5">
        <f t="shared" si="14"/>
        <v>89.261939000142888</v>
      </c>
      <c r="X8" s="25"/>
      <c r="Y8" t="s">
        <v>71</v>
      </c>
      <c r="Z8" s="29">
        <f>'Grid-BC'!Q11</f>
        <v>10.6</v>
      </c>
      <c r="AA8" t="s">
        <v>9</v>
      </c>
    </row>
    <row r="9" spans="1:30" ht="15.75" thickTop="1" thickBot="1" x14ac:dyDescent="0.25">
      <c r="A9" s="8">
        <v>7</v>
      </c>
      <c r="B9" s="14">
        <v>130</v>
      </c>
      <c r="C9" s="14">
        <v>10.395000000000005</v>
      </c>
      <c r="D9" s="10">
        <v>10.295000000000005</v>
      </c>
      <c r="E9" s="8">
        <v>10</v>
      </c>
      <c r="F9" s="20">
        <v>0</v>
      </c>
      <c r="G9" s="20">
        <v>0</v>
      </c>
      <c r="H9" s="9">
        <v>0.52986626832442085</v>
      </c>
      <c r="I9" s="9">
        <f t="shared" si="1"/>
        <v>10.924866268324426</v>
      </c>
      <c r="J9" s="9">
        <f t="shared" si="2"/>
        <v>20</v>
      </c>
      <c r="K9" s="10">
        <f>'Grid-BC'!$F$15</f>
        <v>1.4508717894715074E-2</v>
      </c>
      <c r="L9" s="9">
        <f t="shared" si="3"/>
        <v>10</v>
      </c>
      <c r="M9" s="9">
        <f t="shared" si="4"/>
        <v>5.2986626832442081</v>
      </c>
      <c r="N9" s="9">
        <f t="shared" si="5"/>
        <v>11.059732536648841</v>
      </c>
      <c r="O9" s="9">
        <f t="shared" si="6"/>
        <v>0.47909501117553532</v>
      </c>
      <c r="P9" s="9">
        <f t="shared" si="7"/>
        <v>3.7745373116966592</v>
      </c>
      <c r="Q9" s="9">
        <f t="shared" si="8"/>
        <v>2.2799096675663639</v>
      </c>
      <c r="R9" s="5">
        <f t="shared" si="9"/>
        <v>1.6555644135347258</v>
      </c>
      <c r="S9" s="10">
        <f t="shared" si="10"/>
        <v>11.65101978093351</v>
      </c>
      <c r="T9" s="12">
        <f t="shared" si="11"/>
        <v>7.999999999999903E-3</v>
      </c>
      <c r="U9" s="13">
        <f t="shared" si="12"/>
        <v>1.3524843034459364E-31</v>
      </c>
      <c r="V9" s="5">
        <f t="shared" si="13"/>
        <v>0.26493313416221043</v>
      </c>
      <c r="W9" s="5">
        <f t="shared" si="14"/>
        <v>89.261939000142888</v>
      </c>
      <c r="X9" s="25"/>
      <c r="Y9" t="s">
        <v>50</v>
      </c>
      <c r="Z9" s="34">
        <f>'Grid-BC'!O11</f>
        <v>20</v>
      </c>
      <c r="AA9" t="s">
        <v>14</v>
      </c>
    </row>
    <row r="10" spans="1:30" ht="13.5" thickTop="1" x14ac:dyDescent="0.2">
      <c r="A10" s="8">
        <v>8</v>
      </c>
      <c r="B10" s="14">
        <v>135</v>
      </c>
      <c r="C10" s="14">
        <v>10.355000000000006</v>
      </c>
      <c r="D10" s="10">
        <v>10.255000000000006</v>
      </c>
      <c r="E10" s="8">
        <v>10</v>
      </c>
      <c r="F10" s="20">
        <v>0</v>
      </c>
      <c r="G10" s="20">
        <v>0</v>
      </c>
      <c r="H10" s="9">
        <v>0.52986626832442085</v>
      </c>
      <c r="I10" s="9">
        <f t="shared" si="1"/>
        <v>10.884866268324426</v>
      </c>
      <c r="J10" s="9">
        <f t="shared" si="2"/>
        <v>20</v>
      </c>
      <c r="K10" s="10">
        <f>'Grid-BC'!$F$15</f>
        <v>1.4508717894715074E-2</v>
      </c>
      <c r="L10" s="9">
        <f t="shared" si="3"/>
        <v>10</v>
      </c>
      <c r="M10" s="9">
        <f t="shared" si="4"/>
        <v>5.2986626832442081</v>
      </c>
      <c r="N10" s="9">
        <f t="shared" si="5"/>
        <v>11.059732536648841</v>
      </c>
      <c r="O10" s="9">
        <f t="shared" si="6"/>
        <v>0.47909501117553532</v>
      </c>
      <c r="P10" s="9">
        <f t="shared" si="7"/>
        <v>3.7745373116966592</v>
      </c>
      <c r="Q10" s="9">
        <f t="shared" si="8"/>
        <v>2.2799096675663639</v>
      </c>
      <c r="R10" s="5">
        <f t="shared" si="9"/>
        <v>1.6555644135347258</v>
      </c>
      <c r="S10" s="10">
        <f t="shared" si="10"/>
        <v>11.611019780933511</v>
      </c>
      <c r="T10" s="12">
        <f t="shared" si="11"/>
        <v>7.999999999999903E-3</v>
      </c>
      <c r="U10" s="13">
        <f t="shared" si="12"/>
        <v>1.3524843034459364E-31</v>
      </c>
      <c r="V10" s="5">
        <f t="shared" si="13"/>
        <v>0.26493313416221043</v>
      </c>
      <c r="W10" s="5">
        <f t="shared" si="14"/>
        <v>89.261939000142888</v>
      </c>
      <c r="X10" s="25"/>
    </row>
    <row r="11" spans="1:30" x14ac:dyDescent="0.2">
      <c r="A11" s="8">
        <v>9</v>
      </c>
      <c r="B11" s="14">
        <v>140</v>
      </c>
      <c r="C11" s="14">
        <v>10.315000000000007</v>
      </c>
      <c r="D11" s="10">
        <v>10.215000000000007</v>
      </c>
      <c r="E11" s="8">
        <v>10</v>
      </c>
      <c r="F11" s="20">
        <v>0</v>
      </c>
      <c r="G11" s="20">
        <v>0</v>
      </c>
      <c r="H11" s="9">
        <v>0.52986626832442085</v>
      </c>
      <c r="I11" s="9">
        <f t="shared" si="1"/>
        <v>10.844866268324427</v>
      </c>
      <c r="J11" s="9">
        <f t="shared" si="2"/>
        <v>20</v>
      </c>
      <c r="K11" s="10">
        <f>'Grid-BC'!$F$15</f>
        <v>1.4508717894715074E-2</v>
      </c>
      <c r="L11" s="9">
        <f t="shared" si="3"/>
        <v>10</v>
      </c>
      <c r="M11" s="9">
        <f t="shared" si="4"/>
        <v>5.2986626832442081</v>
      </c>
      <c r="N11" s="9">
        <f t="shared" si="5"/>
        <v>11.059732536648841</v>
      </c>
      <c r="O11" s="9">
        <f t="shared" si="6"/>
        <v>0.47909501117553532</v>
      </c>
      <c r="P11" s="9">
        <f t="shared" si="7"/>
        <v>3.7745373116966592</v>
      </c>
      <c r="Q11" s="9">
        <f t="shared" si="8"/>
        <v>2.2799096675663639</v>
      </c>
      <c r="R11" s="5">
        <f t="shared" si="9"/>
        <v>1.6555644135347258</v>
      </c>
      <c r="S11" s="10">
        <f t="shared" si="10"/>
        <v>11.571019780933511</v>
      </c>
      <c r="T11" s="12">
        <f t="shared" si="11"/>
        <v>7.999999999999903E-3</v>
      </c>
      <c r="U11" s="13">
        <f t="shared" si="12"/>
        <v>1.3524843034459364E-31</v>
      </c>
      <c r="V11" s="5">
        <f t="shared" si="13"/>
        <v>0.26493313416221043</v>
      </c>
      <c r="W11" s="5">
        <f t="shared" si="14"/>
        <v>89.261939000142888</v>
      </c>
      <c r="X11" s="25"/>
    </row>
    <row r="12" spans="1:30" x14ac:dyDescent="0.2">
      <c r="A12" s="8">
        <v>10</v>
      </c>
      <c r="B12" s="14">
        <v>145</v>
      </c>
      <c r="C12" s="14">
        <v>10.275000000000007</v>
      </c>
      <c r="D12" s="10">
        <v>10.175000000000008</v>
      </c>
      <c r="E12" s="8">
        <v>10</v>
      </c>
      <c r="F12" s="20">
        <v>0</v>
      </c>
      <c r="G12" s="20">
        <v>0</v>
      </c>
      <c r="H12" s="9">
        <v>0.52986626832442085</v>
      </c>
      <c r="I12" s="9">
        <f t="shared" si="1"/>
        <v>10.804866268324428</v>
      </c>
      <c r="J12" s="9">
        <f t="shared" si="2"/>
        <v>20</v>
      </c>
      <c r="K12" s="10">
        <f>'Grid-BC'!$F$15</f>
        <v>1.4508717894715074E-2</v>
      </c>
      <c r="L12" s="9">
        <f t="shared" si="3"/>
        <v>10</v>
      </c>
      <c r="M12" s="9">
        <f t="shared" si="4"/>
        <v>5.2986626832442081</v>
      </c>
      <c r="N12" s="9">
        <f t="shared" si="5"/>
        <v>11.059732536648841</v>
      </c>
      <c r="O12" s="9">
        <f t="shared" si="6"/>
        <v>0.47909501117553532</v>
      </c>
      <c r="P12" s="9">
        <f t="shared" si="7"/>
        <v>3.7745373116966592</v>
      </c>
      <c r="Q12" s="9">
        <f t="shared" si="8"/>
        <v>2.2799096675663639</v>
      </c>
      <c r="R12" s="5">
        <f t="shared" si="9"/>
        <v>1.6555644135347258</v>
      </c>
      <c r="S12" s="10">
        <f t="shared" si="10"/>
        <v>11.531019780933512</v>
      </c>
      <c r="T12" s="12">
        <f t="shared" si="11"/>
        <v>7.999999999999903E-3</v>
      </c>
      <c r="U12" s="13">
        <f t="shared" si="12"/>
        <v>1.3524843034459364E-31</v>
      </c>
      <c r="V12" s="5">
        <f t="shared" si="13"/>
        <v>0.26493313416221043</v>
      </c>
      <c r="W12" s="5">
        <f t="shared" si="14"/>
        <v>89.261939000142888</v>
      </c>
      <c r="X12" s="25"/>
    </row>
    <row r="13" spans="1:30" x14ac:dyDescent="0.2">
      <c r="A13" s="8">
        <v>11</v>
      </c>
      <c r="B13" s="14">
        <v>150</v>
      </c>
      <c r="C13" s="14">
        <v>10.235000000000008</v>
      </c>
      <c r="D13" s="10">
        <v>10.135000000000009</v>
      </c>
      <c r="E13" s="8">
        <v>10</v>
      </c>
      <c r="F13" s="20">
        <v>0</v>
      </c>
      <c r="G13" s="20">
        <v>0</v>
      </c>
      <c r="H13" s="9">
        <v>0.52986626832442085</v>
      </c>
      <c r="I13" s="9">
        <f t="shared" si="1"/>
        <v>10.764866268324429</v>
      </c>
      <c r="J13" s="9">
        <f t="shared" si="2"/>
        <v>20</v>
      </c>
      <c r="K13" s="10">
        <f>'Grid-BC'!$F$15</f>
        <v>1.4508717894715074E-2</v>
      </c>
      <c r="L13" s="9">
        <f t="shared" si="3"/>
        <v>10</v>
      </c>
      <c r="M13" s="9">
        <f t="shared" si="4"/>
        <v>5.2986626832442081</v>
      </c>
      <c r="N13" s="9">
        <f t="shared" si="5"/>
        <v>11.059732536648841</v>
      </c>
      <c r="O13" s="9">
        <f t="shared" si="6"/>
        <v>0.47909501117553532</v>
      </c>
      <c r="P13" s="9">
        <f t="shared" si="7"/>
        <v>3.7745373116966592</v>
      </c>
      <c r="Q13" s="9">
        <f t="shared" si="8"/>
        <v>2.2799096675663639</v>
      </c>
      <c r="R13" s="5">
        <f t="shared" si="9"/>
        <v>1.6555644135347258</v>
      </c>
      <c r="S13" s="10">
        <f t="shared" si="10"/>
        <v>11.491019780933513</v>
      </c>
      <c r="T13" s="12">
        <f t="shared" si="11"/>
        <v>7.999999999999903E-3</v>
      </c>
      <c r="U13" s="13">
        <f t="shared" si="12"/>
        <v>1.3524843034459364E-31</v>
      </c>
      <c r="V13" s="5">
        <f t="shared" si="13"/>
        <v>0.26493313416221043</v>
      </c>
      <c r="W13" s="5">
        <f t="shared" si="14"/>
        <v>89.261939000142888</v>
      </c>
      <c r="X13" s="25"/>
    </row>
    <row r="14" spans="1:30" x14ac:dyDescent="0.2">
      <c r="A14" s="8">
        <v>12</v>
      </c>
      <c r="B14" s="14">
        <v>155</v>
      </c>
      <c r="C14" s="14">
        <v>10.195000000000009</v>
      </c>
      <c r="D14" s="10">
        <v>10.09500000000001</v>
      </c>
      <c r="E14" s="8">
        <v>10</v>
      </c>
      <c r="F14" s="20">
        <v>0</v>
      </c>
      <c r="G14" s="20">
        <v>0</v>
      </c>
      <c r="H14" s="9">
        <v>0.52986626832442085</v>
      </c>
      <c r="I14" s="9">
        <f t="shared" si="1"/>
        <v>10.72486626832443</v>
      </c>
      <c r="J14" s="9">
        <f t="shared" si="2"/>
        <v>20</v>
      </c>
      <c r="K14" s="10">
        <f>'Grid-BC'!$F$15</f>
        <v>1.4508717894715074E-2</v>
      </c>
      <c r="L14" s="9">
        <f t="shared" si="3"/>
        <v>10</v>
      </c>
      <c r="M14" s="9">
        <f t="shared" si="4"/>
        <v>5.2986626832442081</v>
      </c>
      <c r="N14" s="9">
        <f t="shared" si="5"/>
        <v>11.059732536648841</v>
      </c>
      <c r="O14" s="9">
        <f t="shared" si="6"/>
        <v>0.47909501117553532</v>
      </c>
      <c r="P14" s="9">
        <f t="shared" si="7"/>
        <v>3.7745373116966592</v>
      </c>
      <c r="Q14" s="9">
        <f t="shared" si="8"/>
        <v>2.2799096675663639</v>
      </c>
      <c r="R14" s="5">
        <f t="shared" si="9"/>
        <v>1.6555644135347258</v>
      </c>
      <c r="S14" s="10">
        <f t="shared" si="10"/>
        <v>11.451019780933514</v>
      </c>
      <c r="T14" s="12">
        <f t="shared" si="11"/>
        <v>7.999999999999903E-3</v>
      </c>
      <c r="U14" s="13">
        <f t="shared" si="12"/>
        <v>1.3524843034459364E-31</v>
      </c>
      <c r="V14" s="5">
        <f t="shared" si="13"/>
        <v>0.26493313416221043</v>
      </c>
      <c r="W14" s="5">
        <f t="shared" si="14"/>
        <v>89.261939000142888</v>
      </c>
      <c r="X14" s="25"/>
    </row>
    <row r="15" spans="1:30" x14ac:dyDescent="0.2">
      <c r="A15" s="8">
        <v>13</v>
      </c>
      <c r="B15" s="14">
        <v>160</v>
      </c>
      <c r="C15" s="14">
        <v>10.15500000000001</v>
      </c>
      <c r="D15" s="10">
        <v>10.05500000000001</v>
      </c>
      <c r="E15" s="8">
        <v>10</v>
      </c>
      <c r="F15" s="20">
        <v>0</v>
      </c>
      <c r="G15" s="20">
        <v>0</v>
      </c>
      <c r="H15" s="9">
        <v>0.52986626832442085</v>
      </c>
      <c r="I15" s="9">
        <f t="shared" si="1"/>
        <v>10.684866268324431</v>
      </c>
      <c r="J15" s="9">
        <f t="shared" si="2"/>
        <v>20</v>
      </c>
      <c r="K15" s="10">
        <f>'Grid-BC'!$F$15</f>
        <v>1.4508717894715074E-2</v>
      </c>
      <c r="L15" s="9">
        <f t="shared" si="3"/>
        <v>10</v>
      </c>
      <c r="M15" s="9">
        <f t="shared" si="4"/>
        <v>5.2986626832442081</v>
      </c>
      <c r="N15" s="9">
        <f t="shared" si="5"/>
        <v>11.059732536648841</v>
      </c>
      <c r="O15" s="9">
        <f t="shared" si="6"/>
        <v>0.47909501117553532</v>
      </c>
      <c r="P15" s="9">
        <f t="shared" si="7"/>
        <v>3.7745373116966592</v>
      </c>
      <c r="Q15" s="9">
        <f t="shared" si="8"/>
        <v>2.2799096675663639</v>
      </c>
      <c r="R15" s="5">
        <f t="shared" si="9"/>
        <v>1.6555644135347258</v>
      </c>
      <c r="S15" s="10">
        <f t="shared" si="10"/>
        <v>11.411019780933515</v>
      </c>
      <c r="T15" s="12">
        <f t="shared" si="11"/>
        <v>7.999999999999903E-3</v>
      </c>
      <c r="U15" s="13">
        <f t="shared" si="12"/>
        <v>1.3524843034459364E-31</v>
      </c>
      <c r="V15" s="5">
        <f t="shared" si="13"/>
        <v>0.26493313416221043</v>
      </c>
      <c r="W15" s="5">
        <f t="shared" si="14"/>
        <v>89.261939000142888</v>
      </c>
      <c r="X15" s="25"/>
    </row>
    <row r="16" spans="1:30" x14ac:dyDescent="0.2">
      <c r="A16" s="8">
        <v>14</v>
      </c>
      <c r="B16" s="14">
        <v>165</v>
      </c>
      <c r="C16" s="14">
        <v>10.115000000000011</v>
      </c>
      <c r="D16" s="27">
        <v>10.015000000000011</v>
      </c>
      <c r="E16" s="18">
        <v>10</v>
      </c>
      <c r="F16" s="20">
        <v>0</v>
      </c>
      <c r="G16" s="20">
        <v>0</v>
      </c>
      <c r="H16" s="9">
        <v>0.52986626832442085</v>
      </c>
      <c r="I16" s="9">
        <f t="shared" si="1"/>
        <v>10.644866268324432</v>
      </c>
      <c r="J16" s="9">
        <f t="shared" si="2"/>
        <v>20</v>
      </c>
      <c r="K16" s="10">
        <f>'Grid-BC'!$F$15</f>
        <v>1.4508717894715074E-2</v>
      </c>
      <c r="L16" s="9">
        <f t="shared" si="3"/>
        <v>10</v>
      </c>
      <c r="M16" s="9">
        <f t="shared" si="4"/>
        <v>5.2986626832442081</v>
      </c>
      <c r="N16" s="9">
        <f t="shared" si="5"/>
        <v>11.059732536648841</v>
      </c>
      <c r="O16" s="9">
        <f t="shared" si="6"/>
        <v>0.47909501117553532</v>
      </c>
      <c r="P16" s="9">
        <f t="shared" si="7"/>
        <v>3.7745373116966592</v>
      </c>
      <c r="Q16" s="9">
        <f t="shared" si="8"/>
        <v>2.2799096675663639</v>
      </c>
      <c r="R16" s="5">
        <f t="shared" si="9"/>
        <v>1.6555644135347258</v>
      </c>
      <c r="S16" s="10">
        <f t="shared" si="10"/>
        <v>11.371019780933516</v>
      </c>
      <c r="T16" s="12">
        <f t="shared" si="11"/>
        <v>7.999999999999903E-3</v>
      </c>
      <c r="U16" s="13">
        <f t="shared" si="12"/>
        <v>1.3524843034459364E-31</v>
      </c>
      <c r="V16" s="5">
        <f t="shared" si="13"/>
        <v>0.26493313416221043</v>
      </c>
      <c r="W16" s="5">
        <f t="shared" si="14"/>
        <v>89.261939000142888</v>
      </c>
      <c r="X16" s="25"/>
      <c r="Z16" s="16"/>
    </row>
    <row r="17" spans="1:26" x14ac:dyDescent="0.2">
      <c r="A17" s="8">
        <v>15</v>
      </c>
      <c r="B17" s="14">
        <v>170</v>
      </c>
      <c r="C17" s="14">
        <v>10.075000000000012</v>
      </c>
      <c r="D17" s="27">
        <v>9.9750000000000121</v>
      </c>
      <c r="E17" s="18">
        <v>10</v>
      </c>
      <c r="F17" s="20">
        <v>0</v>
      </c>
      <c r="G17" s="20">
        <v>0</v>
      </c>
      <c r="H17" s="9">
        <v>0.52986626832442085</v>
      </c>
      <c r="I17" s="9">
        <f t="shared" si="1"/>
        <v>10.604866268324432</v>
      </c>
      <c r="J17" s="9">
        <f t="shared" si="2"/>
        <v>20</v>
      </c>
      <c r="K17" s="10">
        <f>'Grid-BC'!$F$15</f>
        <v>1.4508717894715074E-2</v>
      </c>
      <c r="L17" s="9">
        <f t="shared" si="3"/>
        <v>10</v>
      </c>
      <c r="M17" s="9">
        <f t="shared" si="4"/>
        <v>5.2986626832442081</v>
      </c>
      <c r="N17" s="9">
        <f t="shared" si="5"/>
        <v>11.059732536648841</v>
      </c>
      <c r="O17" s="9">
        <f t="shared" si="6"/>
        <v>0.47909501117553532</v>
      </c>
      <c r="P17" s="9">
        <f t="shared" si="7"/>
        <v>3.7745373116966592</v>
      </c>
      <c r="Q17" s="9">
        <f t="shared" si="8"/>
        <v>2.2799096675663639</v>
      </c>
      <c r="R17" s="5">
        <f t="shared" si="9"/>
        <v>1.6555644135347258</v>
      </c>
      <c r="S17" s="10">
        <f t="shared" si="10"/>
        <v>11.331019780933516</v>
      </c>
      <c r="T17" s="12">
        <f t="shared" si="11"/>
        <v>7.999999999999903E-3</v>
      </c>
      <c r="U17" s="13">
        <f t="shared" si="12"/>
        <v>4.2524085490349914E-4</v>
      </c>
      <c r="V17" s="5">
        <f t="shared" si="13"/>
        <v>0.26493313416221043</v>
      </c>
      <c r="W17" s="5">
        <f t="shared" si="14"/>
        <v>89.261939000142888</v>
      </c>
      <c r="X17" s="25"/>
      <c r="Z17" s="16"/>
    </row>
    <row r="18" spans="1:26" x14ac:dyDescent="0.2">
      <c r="A18" s="8">
        <v>16</v>
      </c>
      <c r="B18" s="14">
        <v>175</v>
      </c>
      <c r="C18" s="14">
        <v>10.070000000000011</v>
      </c>
      <c r="D18" s="10">
        <v>9.9700000000000113</v>
      </c>
      <c r="E18" s="8">
        <v>10</v>
      </c>
      <c r="F18" s="20">
        <v>0</v>
      </c>
      <c r="G18" s="20">
        <v>0</v>
      </c>
      <c r="H18" s="9">
        <v>1.0231438844279075</v>
      </c>
      <c r="I18" s="9">
        <f t="shared" si="1"/>
        <v>11.093143884427919</v>
      </c>
      <c r="J18" s="9">
        <f t="shared" si="2"/>
        <v>20</v>
      </c>
      <c r="K18" s="10">
        <f>'Grid-BC'!$F$15</f>
        <v>1.4508717894715074E-2</v>
      </c>
      <c r="L18" s="9">
        <f t="shared" si="3"/>
        <v>10</v>
      </c>
      <c r="M18" s="9">
        <f t="shared" si="4"/>
        <v>10.231438844279076</v>
      </c>
      <c r="N18" s="9">
        <f t="shared" si="5"/>
        <v>12.046287768855816</v>
      </c>
      <c r="O18" s="9">
        <f t="shared" si="6"/>
        <v>0.84934371821426957</v>
      </c>
      <c r="P18" s="9">
        <f t="shared" si="7"/>
        <v>1.9547592772040103</v>
      </c>
      <c r="Q18" s="9">
        <f t="shared" si="8"/>
        <v>3.168129022978353</v>
      </c>
      <c r="R18" s="5">
        <f t="shared" si="9"/>
        <v>0.61700747129494882</v>
      </c>
      <c r="S18" s="10">
        <f t="shared" si="10"/>
        <v>11.28789841204337</v>
      </c>
      <c r="T18" s="12">
        <f t="shared" si="11"/>
        <v>9.9999999999999243E-4</v>
      </c>
      <c r="U18" s="13">
        <f t="shared" si="12"/>
        <v>6.7183733929156691E-31</v>
      </c>
      <c r="V18" s="5">
        <f t="shared" si="13"/>
        <v>0.51157194221395375</v>
      </c>
      <c r="W18" s="5">
        <f t="shared" si="14"/>
        <v>90.441873718361464</v>
      </c>
      <c r="X18" s="25"/>
      <c r="Z18" s="16"/>
    </row>
    <row r="19" spans="1:26" x14ac:dyDescent="0.2">
      <c r="A19" s="8">
        <v>17</v>
      </c>
      <c r="B19" s="14">
        <v>180</v>
      </c>
      <c r="C19" s="14">
        <v>10.06500000000001</v>
      </c>
      <c r="D19" s="10">
        <v>9.9650000000000105</v>
      </c>
      <c r="E19" s="8">
        <v>10</v>
      </c>
      <c r="F19" s="20">
        <v>0</v>
      </c>
      <c r="G19" s="20">
        <v>0</v>
      </c>
      <c r="H19" s="9">
        <v>1.0231438844279075</v>
      </c>
      <c r="I19" s="9">
        <f t="shared" si="1"/>
        <v>11.088143884427918</v>
      </c>
      <c r="J19" s="9">
        <f t="shared" si="2"/>
        <v>20</v>
      </c>
      <c r="K19" s="10">
        <f>'Grid-BC'!$F$15</f>
        <v>1.4508717894715074E-2</v>
      </c>
      <c r="L19" s="9">
        <f t="shared" si="3"/>
        <v>10</v>
      </c>
      <c r="M19" s="9">
        <f t="shared" si="4"/>
        <v>10.231438844279076</v>
      </c>
      <c r="N19" s="9">
        <f t="shared" si="5"/>
        <v>12.046287768855816</v>
      </c>
      <c r="O19" s="9">
        <f t="shared" si="6"/>
        <v>0.84934371821426957</v>
      </c>
      <c r="P19" s="9">
        <f t="shared" si="7"/>
        <v>1.9547592772040103</v>
      </c>
      <c r="Q19" s="9">
        <f t="shared" si="8"/>
        <v>3.168129022978353</v>
      </c>
      <c r="R19" s="5">
        <f t="shared" si="9"/>
        <v>0.61700747129494882</v>
      </c>
      <c r="S19" s="10">
        <f t="shared" si="10"/>
        <v>11.28289841204337</v>
      </c>
      <c r="T19" s="12">
        <f t="shared" si="11"/>
        <v>9.9999999999999243E-4</v>
      </c>
      <c r="U19" s="13">
        <f t="shared" si="12"/>
        <v>6.7183733929156691E-31</v>
      </c>
      <c r="V19" s="5">
        <f t="shared" si="13"/>
        <v>0.51157194221395375</v>
      </c>
      <c r="W19" s="5">
        <f t="shared" si="14"/>
        <v>90.441873718361464</v>
      </c>
      <c r="X19" s="25"/>
      <c r="Z19" s="16"/>
    </row>
    <row r="20" spans="1:26" x14ac:dyDescent="0.2">
      <c r="A20" s="8">
        <v>18</v>
      </c>
      <c r="B20" s="14">
        <v>185</v>
      </c>
      <c r="C20" s="14">
        <v>10.060000000000009</v>
      </c>
      <c r="D20" s="10">
        <v>9.9600000000000097</v>
      </c>
      <c r="E20" s="8">
        <v>10</v>
      </c>
      <c r="F20" s="20">
        <v>0</v>
      </c>
      <c r="G20" s="20">
        <v>0</v>
      </c>
      <c r="H20" s="9">
        <v>1.0231438844279075</v>
      </c>
      <c r="I20" s="9">
        <f t="shared" si="1"/>
        <v>11.083143884427917</v>
      </c>
      <c r="J20" s="9">
        <f t="shared" si="2"/>
        <v>20</v>
      </c>
      <c r="K20" s="10">
        <f>'Grid-BC'!$F$15</f>
        <v>1.4508717894715074E-2</v>
      </c>
      <c r="L20" s="9">
        <f t="shared" si="3"/>
        <v>10</v>
      </c>
      <c r="M20" s="9">
        <f t="shared" si="4"/>
        <v>10.231438844279076</v>
      </c>
      <c r="N20" s="9">
        <f t="shared" si="5"/>
        <v>12.046287768855816</v>
      </c>
      <c r="O20" s="9">
        <f t="shared" si="6"/>
        <v>0.84934371821426957</v>
      </c>
      <c r="P20" s="9">
        <f t="shared" si="7"/>
        <v>1.9547592772040103</v>
      </c>
      <c r="Q20" s="9">
        <f t="shared" si="8"/>
        <v>3.168129022978353</v>
      </c>
      <c r="R20" s="5">
        <f t="shared" si="9"/>
        <v>0.61700747129494882</v>
      </c>
      <c r="S20" s="10">
        <f t="shared" si="10"/>
        <v>11.277898412043369</v>
      </c>
      <c r="T20" s="12">
        <f t="shared" si="11"/>
        <v>9.9999999999999243E-4</v>
      </c>
      <c r="U20" s="13">
        <f t="shared" si="12"/>
        <v>6.7183733929156691E-31</v>
      </c>
      <c r="V20" s="5">
        <f t="shared" si="13"/>
        <v>0.51157194221395375</v>
      </c>
      <c r="W20" s="5">
        <f t="shared" si="14"/>
        <v>90.441873718361464</v>
      </c>
      <c r="X20" s="25"/>
      <c r="Z20" s="16"/>
    </row>
    <row r="21" spans="1:26" x14ac:dyDescent="0.2">
      <c r="A21" s="8">
        <v>19</v>
      </c>
      <c r="B21" s="14">
        <v>190</v>
      </c>
      <c r="C21" s="14">
        <v>10.055000000000009</v>
      </c>
      <c r="D21" s="10">
        <v>9.955000000000009</v>
      </c>
      <c r="E21" s="8">
        <v>10</v>
      </c>
      <c r="F21" s="20">
        <v>0</v>
      </c>
      <c r="G21" s="20">
        <v>0</v>
      </c>
      <c r="H21" s="9">
        <v>1.0231438844279075</v>
      </c>
      <c r="I21" s="9">
        <f t="shared" si="1"/>
        <v>11.078143884427917</v>
      </c>
      <c r="J21" s="9">
        <f t="shared" si="2"/>
        <v>20</v>
      </c>
      <c r="K21" s="10">
        <f>'Grid-BC'!$F$15</f>
        <v>1.4508717894715074E-2</v>
      </c>
      <c r="L21" s="9">
        <f t="shared" si="3"/>
        <v>10</v>
      </c>
      <c r="M21" s="9">
        <f t="shared" si="4"/>
        <v>10.231438844279076</v>
      </c>
      <c r="N21" s="9">
        <f t="shared" si="5"/>
        <v>12.046287768855816</v>
      </c>
      <c r="O21" s="9">
        <f t="shared" si="6"/>
        <v>0.84934371821426957</v>
      </c>
      <c r="P21" s="9">
        <f t="shared" si="7"/>
        <v>1.9547592772040103</v>
      </c>
      <c r="Q21" s="9">
        <f t="shared" si="8"/>
        <v>3.168129022978353</v>
      </c>
      <c r="R21" s="5">
        <f t="shared" si="9"/>
        <v>0.61700747129494882</v>
      </c>
      <c r="S21" s="10">
        <f t="shared" si="10"/>
        <v>11.272898412043368</v>
      </c>
      <c r="T21" s="12">
        <f t="shared" si="11"/>
        <v>9.9999999999999243E-4</v>
      </c>
      <c r="U21" s="13">
        <f t="shared" si="12"/>
        <v>6.7183733929156691E-31</v>
      </c>
      <c r="V21" s="5">
        <f t="shared" si="13"/>
        <v>0.51157194221395375</v>
      </c>
      <c r="W21" s="5">
        <f t="shared" si="14"/>
        <v>90.441873718361464</v>
      </c>
      <c r="X21" s="25"/>
      <c r="Z21" s="16"/>
    </row>
    <row r="22" spans="1:26" x14ac:dyDescent="0.2">
      <c r="A22" s="8">
        <v>20</v>
      </c>
      <c r="B22" s="14">
        <v>195</v>
      </c>
      <c r="C22" s="14">
        <v>10.050000000000008</v>
      </c>
      <c r="D22" s="10">
        <v>9.9500000000000082</v>
      </c>
      <c r="E22" s="8">
        <v>10</v>
      </c>
      <c r="F22" s="20">
        <v>0</v>
      </c>
      <c r="G22" s="20">
        <v>0</v>
      </c>
      <c r="H22" s="9">
        <v>1.0231438844279075</v>
      </c>
      <c r="I22" s="9">
        <f t="shared" si="1"/>
        <v>11.073143884427916</v>
      </c>
      <c r="J22" s="9">
        <f t="shared" si="2"/>
        <v>20</v>
      </c>
      <c r="K22" s="10">
        <f>'Grid-BC'!$F$15</f>
        <v>1.4508717894715074E-2</v>
      </c>
      <c r="L22" s="9">
        <f t="shared" si="3"/>
        <v>10</v>
      </c>
      <c r="M22" s="9">
        <f t="shared" si="4"/>
        <v>10.231438844279076</v>
      </c>
      <c r="N22" s="9">
        <f t="shared" si="5"/>
        <v>12.046287768855816</v>
      </c>
      <c r="O22" s="9">
        <f t="shared" si="6"/>
        <v>0.84934371821426957</v>
      </c>
      <c r="P22" s="9">
        <f t="shared" si="7"/>
        <v>1.9547592772040103</v>
      </c>
      <c r="Q22" s="9">
        <f t="shared" si="8"/>
        <v>3.168129022978353</v>
      </c>
      <c r="R22" s="5">
        <f t="shared" si="9"/>
        <v>0.61700747129494882</v>
      </c>
      <c r="S22" s="10">
        <f t="shared" si="10"/>
        <v>11.267898412043367</v>
      </c>
      <c r="T22" s="12">
        <f t="shared" si="11"/>
        <v>9.9999999999999243E-4</v>
      </c>
      <c r="U22" s="13">
        <f t="shared" si="12"/>
        <v>6.7183733929156691E-31</v>
      </c>
      <c r="V22" s="5">
        <f t="shared" si="13"/>
        <v>0.51157194221395375</v>
      </c>
      <c r="W22" s="5">
        <f t="shared" si="14"/>
        <v>90.441873718361464</v>
      </c>
      <c r="X22" s="25"/>
      <c r="Z22" s="16"/>
    </row>
    <row r="23" spans="1:26" x14ac:dyDescent="0.2">
      <c r="A23" s="8">
        <v>21</v>
      </c>
      <c r="B23" s="14">
        <v>200</v>
      </c>
      <c r="C23" s="14">
        <v>10.045000000000007</v>
      </c>
      <c r="D23" s="10">
        <v>9.9450000000000074</v>
      </c>
      <c r="E23" s="8">
        <v>10</v>
      </c>
      <c r="F23" s="20">
        <v>0</v>
      </c>
      <c r="G23" s="20">
        <v>0</v>
      </c>
      <c r="H23" s="9">
        <v>1.0231438844279075</v>
      </c>
      <c r="I23" s="9">
        <f t="shared" si="1"/>
        <v>11.068143884427915</v>
      </c>
      <c r="J23" s="9">
        <f t="shared" si="2"/>
        <v>20</v>
      </c>
      <c r="K23" s="10">
        <f>'Grid-BC'!$F$15</f>
        <v>1.4508717894715074E-2</v>
      </c>
      <c r="L23" s="9">
        <f t="shared" si="3"/>
        <v>10</v>
      </c>
      <c r="M23" s="9">
        <f t="shared" si="4"/>
        <v>10.231438844279076</v>
      </c>
      <c r="N23" s="9">
        <f t="shared" si="5"/>
        <v>12.046287768855816</v>
      </c>
      <c r="O23" s="9">
        <f t="shared" si="6"/>
        <v>0.84934371821426957</v>
      </c>
      <c r="P23" s="9">
        <f t="shared" si="7"/>
        <v>1.9547592772040103</v>
      </c>
      <c r="Q23" s="9">
        <f t="shared" si="8"/>
        <v>3.168129022978353</v>
      </c>
      <c r="R23" s="5">
        <f t="shared" si="9"/>
        <v>0.61700747129494882</v>
      </c>
      <c r="S23" s="10">
        <f t="shared" si="10"/>
        <v>11.262898412043366</v>
      </c>
      <c r="T23" s="12">
        <f t="shared" si="11"/>
        <v>9.9999999999999243E-4</v>
      </c>
      <c r="U23" s="13">
        <f t="shared" si="12"/>
        <v>6.7183733929156691E-31</v>
      </c>
      <c r="V23" s="5">
        <f t="shared" si="13"/>
        <v>0.51157194221395375</v>
      </c>
      <c r="W23" s="5">
        <f t="shared" si="14"/>
        <v>90.441873718361464</v>
      </c>
      <c r="X23" s="25"/>
      <c r="Z23" s="16"/>
    </row>
    <row r="24" spans="1:26" x14ac:dyDescent="0.2">
      <c r="A24" s="8">
        <v>22</v>
      </c>
      <c r="B24" s="14">
        <v>205</v>
      </c>
      <c r="C24" s="14">
        <v>10.040000000000006</v>
      </c>
      <c r="D24" s="10">
        <v>9.9400000000000066</v>
      </c>
      <c r="E24" s="8">
        <v>10</v>
      </c>
      <c r="F24" s="20">
        <v>0</v>
      </c>
      <c r="G24" s="20">
        <v>0</v>
      </c>
      <c r="H24" s="9">
        <v>1.0231438844279075</v>
      </c>
      <c r="I24" s="9">
        <f t="shared" si="1"/>
        <v>11.063143884427914</v>
      </c>
      <c r="J24" s="9">
        <f t="shared" si="2"/>
        <v>20</v>
      </c>
      <c r="K24" s="10">
        <f>'Grid-BC'!$F$15</f>
        <v>1.4508717894715074E-2</v>
      </c>
      <c r="L24" s="9">
        <f t="shared" si="3"/>
        <v>10</v>
      </c>
      <c r="M24" s="9">
        <f t="shared" si="4"/>
        <v>10.231438844279076</v>
      </c>
      <c r="N24" s="9">
        <f t="shared" si="5"/>
        <v>12.046287768855816</v>
      </c>
      <c r="O24" s="9">
        <f t="shared" si="6"/>
        <v>0.84934371821426957</v>
      </c>
      <c r="P24" s="9">
        <f t="shared" si="7"/>
        <v>1.9547592772040103</v>
      </c>
      <c r="Q24" s="9">
        <f t="shared" si="8"/>
        <v>3.168129022978353</v>
      </c>
      <c r="R24" s="5">
        <f t="shared" si="9"/>
        <v>0.61700747129494882</v>
      </c>
      <c r="S24" s="10">
        <f t="shared" si="10"/>
        <v>11.257898412043366</v>
      </c>
      <c r="T24" s="12">
        <f t="shared" si="11"/>
        <v>9.9999999999999243E-4</v>
      </c>
      <c r="U24" s="13">
        <f t="shared" si="12"/>
        <v>6.7183733929156691E-31</v>
      </c>
      <c r="V24" s="5">
        <f t="shared" si="13"/>
        <v>0.51157194221395375</v>
      </c>
      <c r="W24" s="5">
        <f t="shared" si="14"/>
        <v>90.441873718361464</v>
      </c>
      <c r="X24" s="25"/>
      <c r="Z24" s="16"/>
    </row>
    <row r="25" spans="1:26" x14ac:dyDescent="0.2">
      <c r="A25" s="8">
        <v>23</v>
      </c>
      <c r="B25" s="14">
        <v>210</v>
      </c>
      <c r="C25" s="14">
        <v>10.035000000000005</v>
      </c>
      <c r="D25" s="10">
        <v>9.9350000000000058</v>
      </c>
      <c r="E25" s="8">
        <v>10</v>
      </c>
      <c r="F25" s="20">
        <v>0</v>
      </c>
      <c r="G25" s="20">
        <v>0</v>
      </c>
      <c r="H25" s="9">
        <v>1.0231438844279075</v>
      </c>
      <c r="I25" s="9">
        <f t="shared" si="1"/>
        <v>11.058143884427913</v>
      </c>
      <c r="J25" s="9">
        <f t="shared" si="2"/>
        <v>20</v>
      </c>
      <c r="K25" s="10">
        <f>'Grid-BC'!$F$15</f>
        <v>1.4508717894715074E-2</v>
      </c>
      <c r="L25" s="9">
        <f t="shared" si="3"/>
        <v>10</v>
      </c>
      <c r="M25" s="9">
        <f t="shared" si="4"/>
        <v>10.231438844279076</v>
      </c>
      <c r="N25" s="9">
        <f t="shared" si="5"/>
        <v>12.046287768855816</v>
      </c>
      <c r="O25" s="9">
        <f t="shared" si="6"/>
        <v>0.84934371821426957</v>
      </c>
      <c r="P25" s="9">
        <f t="shared" si="7"/>
        <v>1.9547592772040103</v>
      </c>
      <c r="Q25" s="9">
        <f t="shared" si="8"/>
        <v>3.168129022978353</v>
      </c>
      <c r="R25" s="5">
        <f t="shared" si="9"/>
        <v>0.61700747129494882</v>
      </c>
      <c r="S25" s="10">
        <f t="shared" si="10"/>
        <v>11.252898412043365</v>
      </c>
      <c r="T25" s="12">
        <f t="shared" si="11"/>
        <v>9.9999999999999243E-4</v>
      </c>
      <c r="U25" s="13">
        <f t="shared" si="12"/>
        <v>6.7183733929156691E-31</v>
      </c>
      <c r="V25" s="5">
        <f t="shared" si="13"/>
        <v>0.51157194221395375</v>
      </c>
      <c r="W25" s="5">
        <f t="shared" si="14"/>
        <v>90.441873718361464</v>
      </c>
      <c r="X25" s="25"/>
      <c r="Z25" s="16"/>
    </row>
    <row r="26" spans="1:26" x14ac:dyDescent="0.2">
      <c r="A26" s="8">
        <v>24</v>
      </c>
      <c r="B26" s="14">
        <v>215</v>
      </c>
      <c r="C26" s="14">
        <v>10.030000000000005</v>
      </c>
      <c r="D26" s="10">
        <v>9.930000000000005</v>
      </c>
      <c r="E26" s="8">
        <v>10</v>
      </c>
      <c r="F26" s="20">
        <v>0</v>
      </c>
      <c r="G26" s="20">
        <v>0</v>
      </c>
      <c r="H26" s="9">
        <v>1.0231438844279075</v>
      </c>
      <c r="I26" s="9">
        <f t="shared" si="1"/>
        <v>11.053143884427913</v>
      </c>
      <c r="J26" s="9">
        <f t="shared" si="2"/>
        <v>20</v>
      </c>
      <c r="K26" s="10">
        <f>'Grid-BC'!$F$15</f>
        <v>1.4508717894715074E-2</v>
      </c>
      <c r="L26" s="9">
        <f t="shared" si="3"/>
        <v>10</v>
      </c>
      <c r="M26" s="9">
        <f t="shared" si="4"/>
        <v>10.231438844279076</v>
      </c>
      <c r="N26" s="9">
        <f t="shared" si="5"/>
        <v>12.046287768855816</v>
      </c>
      <c r="O26" s="9">
        <f t="shared" si="6"/>
        <v>0.84934371821426957</v>
      </c>
      <c r="P26" s="9">
        <f t="shared" si="7"/>
        <v>1.9547592772040103</v>
      </c>
      <c r="Q26" s="9">
        <f t="shared" si="8"/>
        <v>3.168129022978353</v>
      </c>
      <c r="R26" s="5">
        <f t="shared" si="9"/>
        <v>0.61700747129494882</v>
      </c>
      <c r="S26" s="10">
        <f t="shared" si="10"/>
        <v>11.247898412043364</v>
      </c>
      <c r="T26" s="12">
        <f t="shared" si="11"/>
        <v>9.9999999999999243E-4</v>
      </c>
      <c r="U26" s="13">
        <f t="shared" si="12"/>
        <v>6.7183733929156691E-31</v>
      </c>
      <c r="V26" s="5">
        <f t="shared" si="13"/>
        <v>0.51157194221395375</v>
      </c>
      <c r="W26" s="5">
        <f t="shared" si="14"/>
        <v>90.441873718361464</v>
      </c>
      <c r="X26" s="25"/>
      <c r="Z26" s="16"/>
    </row>
    <row r="27" spans="1:26" x14ac:dyDescent="0.2">
      <c r="A27" s="8">
        <v>25</v>
      </c>
      <c r="B27" s="14">
        <v>220</v>
      </c>
      <c r="C27" s="14">
        <v>10.025000000000004</v>
      </c>
      <c r="D27" s="10">
        <v>9.9250000000000043</v>
      </c>
      <c r="E27" s="8">
        <v>10</v>
      </c>
      <c r="F27" s="20">
        <v>0</v>
      </c>
      <c r="G27" s="20">
        <v>0</v>
      </c>
      <c r="H27" s="9">
        <v>1.0231438844279075</v>
      </c>
      <c r="I27" s="9">
        <f t="shared" si="1"/>
        <v>11.048143884427912</v>
      </c>
      <c r="J27" s="9">
        <f t="shared" si="2"/>
        <v>20</v>
      </c>
      <c r="K27" s="10">
        <f>'Grid-BC'!$F$15</f>
        <v>1.4508717894715074E-2</v>
      </c>
      <c r="L27" s="9">
        <f t="shared" si="3"/>
        <v>10</v>
      </c>
      <c r="M27" s="9">
        <f t="shared" si="4"/>
        <v>10.231438844279076</v>
      </c>
      <c r="N27" s="9">
        <f t="shared" si="5"/>
        <v>12.046287768855816</v>
      </c>
      <c r="O27" s="9">
        <f t="shared" si="6"/>
        <v>0.84934371821426957</v>
      </c>
      <c r="P27" s="9">
        <f t="shared" si="7"/>
        <v>1.9547592772040103</v>
      </c>
      <c r="Q27" s="9">
        <f t="shared" si="8"/>
        <v>3.168129022978353</v>
      </c>
      <c r="R27" s="5">
        <f t="shared" si="9"/>
        <v>0.61700747129494882</v>
      </c>
      <c r="S27" s="10">
        <f t="shared" si="10"/>
        <v>11.242898412043363</v>
      </c>
      <c r="T27" s="12">
        <f t="shared" si="11"/>
        <v>9.9999999999999243E-4</v>
      </c>
      <c r="U27" s="13">
        <f t="shared" si="12"/>
        <v>6.7183733929156691E-31</v>
      </c>
      <c r="V27" s="5">
        <f t="shared" si="13"/>
        <v>0.51157194221395375</v>
      </c>
      <c r="W27" s="5">
        <f t="shared" si="14"/>
        <v>90.441873718361464</v>
      </c>
      <c r="X27" s="25"/>
      <c r="Z27" s="16"/>
    </row>
    <row r="28" spans="1:26" x14ac:dyDescent="0.2">
      <c r="A28" s="8">
        <v>26</v>
      </c>
      <c r="B28" s="14">
        <v>225</v>
      </c>
      <c r="C28" s="14">
        <v>10.020000000000003</v>
      </c>
      <c r="D28" s="10">
        <v>9.9200000000000035</v>
      </c>
      <c r="E28" s="8">
        <v>10</v>
      </c>
      <c r="F28" s="20">
        <v>0</v>
      </c>
      <c r="G28" s="20">
        <v>0</v>
      </c>
      <c r="H28" s="9">
        <v>1.0231438844279075</v>
      </c>
      <c r="I28" s="9">
        <f t="shared" si="1"/>
        <v>11.043143884427911</v>
      </c>
      <c r="J28" s="9">
        <f t="shared" si="2"/>
        <v>20</v>
      </c>
      <c r="K28" s="10">
        <f>'Grid-BC'!$F$15</f>
        <v>1.4508717894715074E-2</v>
      </c>
      <c r="L28" s="9">
        <f t="shared" si="3"/>
        <v>10</v>
      </c>
      <c r="M28" s="9">
        <f t="shared" si="4"/>
        <v>10.231438844279076</v>
      </c>
      <c r="N28" s="9">
        <f t="shared" si="5"/>
        <v>12.046287768855816</v>
      </c>
      <c r="O28" s="9">
        <f t="shared" si="6"/>
        <v>0.84934371821426957</v>
      </c>
      <c r="P28" s="9">
        <f t="shared" si="7"/>
        <v>1.9547592772040103</v>
      </c>
      <c r="Q28" s="9">
        <f t="shared" si="8"/>
        <v>3.168129022978353</v>
      </c>
      <c r="R28" s="5">
        <f t="shared" si="9"/>
        <v>0.61700747129494882</v>
      </c>
      <c r="S28" s="10">
        <f t="shared" si="10"/>
        <v>11.237898412043362</v>
      </c>
      <c r="T28" s="12">
        <f t="shared" si="11"/>
        <v>9.9999999999999243E-4</v>
      </c>
      <c r="U28" s="13">
        <f t="shared" si="12"/>
        <v>6.7183733929156691E-31</v>
      </c>
      <c r="V28" s="5">
        <f t="shared" si="13"/>
        <v>0.51157194221395375</v>
      </c>
      <c r="W28" s="5">
        <f t="shared" si="14"/>
        <v>90.441873718361464</v>
      </c>
      <c r="X28" s="25"/>
      <c r="Z28" s="16"/>
    </row>
    <row r="29" spans="1:26" x14ac:dyDescent="0.2">
      <c r="A29" s="8">
        <v>27</v>
      </c>
      <c r="B29" s="14">
        <v>230</v>
      </c>
      <c r="C29" s="14">
        <v>10.015000000000002</v>
      </c>
      <c r="D29" s="10">
        <v>9.9150000000000027</v>
      </c>
      <c r="E29" s="8">
        <v>10</v>
      </c>
      <c r="F29" s="20">
        <v>0</v>
      </c>
      <c r="G29" s="20">
        <v>0</v>
      </c>
      <c r="H29" s="9">
        <v>1.0231438844279075</v>
      </c>
      <c r="I29" s="9">
        <f t="shared" si="1"/>
        <v>11.03814388442791</v>
      </c>
      <c r="J29" s="9">
        <f t="shared" si="2"/>
        <v>20</v>
      </c>
      <c r="K29" s="10">
        <f>'Grid-BC'!$F$15</f>
        <v>1.4508717894715074E-2</v>
      </c>
      <c r="L29" s="9">
        <f t="shared" si="3"/>
        <v>10</v>
      </c>
      <c r="M29" s="9">
        <f t="shared" si="4"/>
        <v>10.231438844279076</v>
      </c>
      <c r="N29" s="9">
        <f t="shared" si="5"/>
        <v>12.046287768855816</v>
      </c>
      <c r="O29" s="9">
        <f t="shared" si="6"/>
        <v>0.84934371821426957</v>
      </c>
      <c r="P29" s="9">
        <f t="shared" si="7"/>
        <v>1.9547592772040103</v>
      </c>
      <c r="Q29" s="9">
        <f t="shared" si="8"/>
        <v>3.168129022978353</v>
      </c>
      <c r="R29" s="5">
        <f t="shared" si="9"/>
        <v>0.61700747129494882</v>
      </c>
      <c r="S29" s="10">
        <f t="shared" si="10"/>
        <v>11.232898412043362</v>
      </c>
      <c r="T29" s="12">
        <f t="shared" si="11"/>
        <v>9.9999999999999243E-4</v>
      </c>
      <c r="U29" s="13">
        <f t="shared" si="12"/>
        <v>6.7183733929156691E-31</v>
      </c>
      <c r="V29" s="5">
        <f t="shared" si="13"/>
        <v>0.51157194221395375</v>
      </c>
      <c r="W29" s="5">
        <f t="shared" si="14"/>
        <v>90.441873718361464</v>
      </c>
      <c r="X29" s="25"/>
      <c r="Z29" s="16"/>
    </row>
    <row r="30" spans="1:26" x14ac:dyDescent="0.2">
      <c r="A30" s="8">
        <v>28</v>
      </c>
      <c r="B30" s="14">
        <v>235</v>
      </c>
      <c r="C30" s="14">
        <v>10.010000000000002</v>
      </c>
      <c r="D30" s="10">
        <v>9.9100000000000019</v>
      </c>
      <c r="E30" s="8">
        <v>10</v>
      </c>
      <c r="F30" s="20">
        <v>0</v>
      </c>
      <c r="G30" s="20">
        <v>0</v>
      </c>
      <c r="H30" s="9">
        <v>1.0231438844279075</v>
      </c>
      <c r="I30" s="9">
        <f t="shared" si="1"/>
        <v>11.033143884427909</v>
      </c>
      <c r="J30" s="9">
        <f t="shared" si="2"/>
        <v>20</v>
      </c>
      <c r="K30" s="10">
        <f>'Grid-BC'!$F$15</f>
        <v>1.4508717894715074E-2</v>
      </c>
      <c r="L30" s="9">
        <f t="shared" si="3"/>
        <v>10</v>
      </c>
      <c r="M30" s="9">
        <f t="shared" si="4"/>
        <v>10.231438844279076</v>
      </c>
      <c r="N30" s="9">
        <f t="shared" si="5"/>
        <v>12.046287768855816</v>
      </c>
      <c r="O30" s="9">
        <f t="shared" si="6"/>
        <v>0.84934371821426957</v>
      </c>
      <c r="P30" s="9">
        <f t="shared" si="7"/>
        <v>1.9547592772040103</v>
      </c>
      <c r="Q30" s="9">
        <f t="shared" si="8"/>
        <v>3.168129022978353</v>
      </c>
      <c r="R30" s="5">
        <f t="shared" si="9"/>
        <v>0.61700747129494882</v>
      </c>
      <c r="S30" s="10">
        <f t="shared" si="10"/>
        <v>11.227898412043361</v>
      </c>
      <c r="T30" s="12">
        <f t="shared" si="11"/>
        <v>9.9999999999999243E-4</v>
      </c>
      <c r="U30" s="13">
        <f t="shared" si="12"/>
        <v>6.7183733929156691E-31</v>
      </c>
      <c r="V30" s="5">
        <f t="shared" si="13"/>
        <v>0.51157194221395375</v>
      </c>
      <c r="W30" s="5">
        <f t="shared" si="14"/>
        <v>90.441873718361464</v>
      </c>
      <c r="X30" s="25"/>
      <c r="Z30" s="16"/>
    </row>
    <row r="31" spans="1:26" x14ac:dyDescent="0.2">
      <c r="A31" s="8">
        <v>29</v>
      </c>
      <c r="B31" s="14">
        <v>240</v>
      </c>
      <c r="C31" s="14">
        <v>10.005000000000001</v>
      </c>
      <c r="D31" s="10">
        <v>9.9050000000000011</v>
      </c>
      <c r="E31" s="8">
        <v>10</v>
      </c>
      <c r="F31" s="20">
        <v>0</v>
      </c>
      <c r="G31" s="20">
        <v>0</v>
      </c>
      <c r="H31" s="9">
        <v>1.0231438844279075</v>
      </c>
      <c r="I31" s="9">
        <f t="shared" si="1"/>
        <v>11.028143884427909</v>
      </c>
      <c r="J31" s="9">
        <f t="shared" si="2"/>
        <v>20</v>
      </c>
      <c r="K31" s="10">
        <f>'Grid-BC'!$F$15</f>
        <v>1.4508717894715074E-2</v>
      </c>
      <c r="L31" s="9">
        <f t="shared" si="3"/>
        <v>10</v>
      </c>
      <c r="M31" s="9">
        <f t="shared" si="4"/>
        <v>10.231438844279076</v>
      </c>
      <c r="N31" s="9">
        <f t="shared" si="5"/>
        <v>12.046287768855816</v>
      </c>
      <c r="O31" s="9">
        <f t="shared" si="6"/>
        <v>0.84934371821426957</v>
      </c>
      <c r="P31" s="9">
        <f t="shared" si="7"/>
        <v>1.9547592772040103</v>
      </c>
      <c r="Q31" s="9">
        <f t="shared" si="8"/>
        <v>3.168129022978353</v>
      </c>
      <c r="R31" s="5">
        <f t="shared" si="9"/>
        <v>0.61700747129494882</v>
      </c>
      <c r="S31" s="10">
        <f t="shared" si="10"/>
        <v>11.22289841204336</v>
      </c>
      <c r="T31" s="12">
        <f t="shared" si="11"/>
        <v>9.9999999999999243E-4</v>
      </c>
      <c r="U31" s="13">
        <f t="shared" si="12"/>
        <v>6.7183733929156691E-31</v>
      </c>
      <c r="V31" s="5">
        <f t="shared" si="13"/>
        <v>0.51157194221395375</v>
      </c>
      <c r="W31" s="5">
        <f t="shared" si="14"/>
        <v>90.441873718361464</v>
      </c>
      <c r="X31" s="25"/>
      <c r="Z31" s="16"/>
    </row>
    <row r="32" spans="1:26" x14ac:dyDescent="0.2">
      <c r="A32" s="8">
        <v>30</v>
      </c>
      <c r="B32" s="14">
        <v>245</v>
      </c>
      <c r="C32" s="14">
        <v>10</v>
      </c>
      <c r="D32" s="10">
        <v>9.9</v>
      </c>
      <c r="E32" s="8">
        <v>10</v>
      </c>
      <c r="F32" s="20">
        <v>0</v>
      </c>
      <c r="G32" s="20">
        <v>0</v>
      </c>
      <c r="H32" s="9">
        <v>1.0231438844279075</v>
      </c>
      <c r="I32" s="9">
        <f t="shared" si="1"/>
        <v>11.023143884427908</v>
      </c>
      <c r="J32" s="9">
        <f t="shared" si="2"/>
        <v>20</v>
      </c>
      <c r="K32" s="10">
        <f>'Grid-BC'!$F$15</f>
        <v>1.4508717894715074E-2</v>
      </c>
      <c r="L32" s="9">
        <f t="shared" si="3"/>
        <v>10</v>
      </c>
      <c r="M32" s="9">
        <f t="shared" si="4"/>
        <v>10.231438844279076</v>
      </c>
      <c r="N32" s="9">
        <f t="shared" si="5"/>
        <v>12.046287768855816</v>
      </c>
      <c r="O32" s="9">
        <f t="shared" si="6"/>
        <v>0.84934371821426957</v>
      </c>
      <c r="P32" s="9">
        <f t="shared" si="7"/>
        <v>1.9547592772040103</v>
      </c>
      <c r="Q32" s="9">
        <f t="shared" si="8"/>
        <v>3.168129022978353</v>
      </c>
      <c r="R32" s="5">
        <f t="shared" si="9"/>
        <v>0.61700747129494882</v>
      </c>
      <c r="S32" s="10">
        <f t="shared" si="10"/>
        <v>11.217898412043359</v>
      </c>
      <c r="T32" s="12">
        <f t="shared" si="11"/>
        <v>9.9999999999999243E-4</v>
      </c>
      <c r="U32" s="13"/>
      <c r="V32" s="5">
        <f t="shared" si="13"/>
        <v>0.51157194221395375</v>
      </c>
      <c r="W32" s="5">
        <f t="shared" si="14"/>
        <v>90.441873718361464</v>
      </c>
      <c r="X32" s="25"/>
      <c r="Z32" s="16"/>
    </row>
    <row r="33" spans="1:29" x14ac:dyDescent="0.2">
      <c r="A33" s="8"/>
      <c r="B33" s="14"/>
      <c r="C33" s="14"/>
      <c r="D33" s="8"/>
      <c r="E33" s="8"/>
      <c r="F33" s="20"/>
      <c r="G33" s="20"/>
      <c r="H33" s="9"/>
      <c r="I33" s="9"/>
      <c r="J33" s="9"/>
      <c r="K33" s="10"/>
      <c r="L33" s="9"/>
      <c r="M33" s="9"/>
      <c r="N33" s="9"/>
      <c r="O33" s="9"/>
      <c r="P33" s="9"/>
      <c r="Q33" s="9"/>
      <c r="R33" s="5"/>
      <c r="S33" s="10"/>
      <c r="T33" s="12"/>
      <c r="U33" s="13"/>
      <c r="V33" s="5"/>
      <c r="W33" s="5"/>
      <c r="X33" s="14"/>
      <c r="Y33" s="14"/>
      <c r="Z33" s="14"/>
      <c r="AA33" s="14"/>
      <c r="AB33" s="14"/>
      <c r="AC33" s="14"/>
    </row>
    <row r="34" spans="1:29" x14ac:dyDescent="0.2">
      <c r="A34" s="8"/>
      <c r="B34" s="14"/>
      <c r="C34" s="14"/>
      <c r="D34" s="18"/>
      <c r="E34" s="18"/>
      <c r="F34" s="20"/>
      <c r="G34" s="20"/>
      <c r="H34" s="9"/>
      <c r="I34" s="9"/>
      <c r="J34" s="9"/>
      <c r="K34" s="10"/>
      <c r="L34" s="9"/>
      <c r="M34" s="9"/>
      <c r="N34" s="9"/>
      <c r="O34" s="9"/>
      <c r="P34" s="9"/>
      <c r="Q34" s="9"/>
      <c r="R34" s="5"/>
      <c r="S34" s="10"/>
      <c r="T34" s="12"/>
      <c r="U34" s="13"/>
      <c r="V34" s="5"/>
      <c r="W34" s="5"/>
      <c r="Y34" s="2"/>
    </row>
    <row r="35" spans="1:29" x14ac:dyDescent="0.2">
      <c r="A35" s="8"/>
      <c r="B35" s="14"/>
      <c r="C35" s="14"/>
      <c r="D35" s="18"/>
      <c r="E35" s="18"/>
      <c r="F35" s="20"/>
      <c r="G35" s="20"/>
      <c r="H35" s="9"/>
      <c r="I35" s="9"/>
      <c r="J35" s="9"/>
      <c r="K35" s="10"/>
      <c r="L35" s="9"/>
      <c r="M35" s="9"/>
      <c r="N35" s="9"/>
      <c r="O35" s="9"/>
      <c r="P35" s="9"/>
      <c r="Q35" s="9"/>
      <c r="R35" s="5"/>
      <c r="S35" s="10"/>
      <c r="T35" s="12"/>
      <c r="U35" s="13"/>
      <c r="V35" s="5"/>
      <c r="W35" s="5"/>
      <c r="Y35" s="5"/>
      <c r="Z35" s="10"/>
      <c r="AA35" s="9"/>
      <c r="AB35" s="5"/>
      <c r="AC35" s="11"/>
    </row>
    <row r="36" spans="1:29" x14ac:dyDescent="0.2">
      <c r="A36" s="8"/>
      <c r="B36" s="14"/>
      <c r="C36" s="14"/>
      <c r="D36" s="8"/>
      <c r="E36" s="8"/>
      <c r="F36" s="20"/>
      <c r="G36" s="20"/>
      <c r="H36" s="9"/>
      <c r="I36" s="9"/>
      <c r="J36" s="9"/>
      <c r="K36" s="10"/>
      <c r="L36" s="9"/>
      <c r="M36" s="9"/>
      <c r="N36" s="9"/>
      <c r="O36" s="9"/>
      <c r="P36" s="9"/>
      <c r="Q36" s="9"/>
      <c r="R36" s="5"/>
      <c r="S36" s="10"/>
      <c r="T36" s="12"/>
      <c r="U36" s="13"/>
      <c r="V36" s="5"/>
      <c r="W36" s="5"/>
      <c r="Y36" s="5"/>
      <c r="Z36" s="10"/>
      <c r="AA36" s="9"/>
      <c r="AB36" s="5"/>
      <c r="AC36" s="11"/>
    </row>
    <row r="37" spans="1:29" x14ac:dyDescent="0.2">
      <c r="A37" s="8"/>
      <c r="B37" s="14"/>
      <c r="C37" s="14"/>
      <c r="D37" s="8"/>
      <c r="E37" s="8"/>
      <c r="F37" s="20"/>
      <c r="G37" s="20"/>
      <c r="H37" s="9"/>
      <c r="I37" s="9"/>
      <c r="J37" s="9"/>
      <c r="K37" s="10"/>
      <c r="L37" s="9"/>
      <c r="M37" s="9"/>
      <c r="N37" s="9"/>
      <c r="O37" s="9"/>
      <c r="P37" s="9"/>
      <c r="Q37" s="9"/>
      <c r="R37" s="5"/>
      <c r="S37" s="10"/>
      <c r="T37" s="12"/>
      <c r="U37" s="13"/>
      <c r="V37" s="5"/>
      <c r="W37" s="5"/>
      <c r="Y37" s="5"/>
      <c r="Z37" s="10"/>
      <c r="AA37" s="9"/>
      <c r="AB37" s="5"/>
      <c r="AC37" s="11"/>
    </row>
    <row r="38" spans="1:29" x14ac:dyDescent="0.2">
      <c r="A38" s="8"/>
      <c r="B38" s="14"/>
      <c r="C38" s="14"/>
      <c r="D38" s="8"/>
      <c r="E38" s="8"/>
      <c r="F38" s="20"/>
      <c r="G38" s="20"/>
      <c r="H38" s="9"/>
      <c r="I38" s="9"/>
      <c r="J38" s="9"/>
      <c r="K38" s="10"/>
      <c r="L38" s="9"/>
      <c r="M38" s="9"/>
      <c r="N38" s="9"/>
      <c r="O38" s="9"/>
      <c r="P38" s="9"/>
      <c r="Q38" s="9"/>
      <c r="R38" s="5"/>
      <c r="S38" s="10"/>
      <c r="T38" s="12"/>
      <c r="U38" s="13"/>
      <c r="V38" s="5"/>
      <c r="W38" s="5"/>
      <c r="Y38" s="5"/>
      <c r="Z38" s="10"/>
      <c r="AA38" s="9"/>
      <c r="AB38" s="5"/>
      <c r="AC38" s="11"/>
    </row>
    <row r="39" spans="1:29" x14ac:dyDescent="0.2">
      <c r="A39" s="8"/>
      <c r="B39" s="14"/>
      <c r="C39" s="14"/>
      <c r="D39" s="8"/>
      <c r="E39" s="8"/>
      <c r="F39" s="20"/>
      <c r="G39" s="20"/>
      <c r="H39" s="9"/>
      <c r="I39" s="9"/>
      <c r="J39" s="9"/>
      <c r="K39" s="10"/>
      <c r="L39" s="9"/>
      <c r="M39" s="9"/>
      <c r="N39" s="9"/>
      <c r="O39" s="9"/>
      <c r="P39" s="9"/>
      <c r="Q39" s="9"/>
      <c r="R39" s="5"/>
      <c r="S39" s="10"/>
      <c r="T39" s="12"/>
      <c r="U39" s="13"/>
      <c r="V39" s="5"/>
      <c r="W39" s="5"/>
      <c r="Y39" s="5"/>
      <c r="Z39" s="10"/>
      <c r="AA39" s="9"/>
      <c r="AB39" s="5"/>
      <c r="AC39" s="11"/>
    </row>
    <row r="40" spans="1:29" x14ac:dyDescent="0.2">
      <c r="A40" s="8"/>
      <c r="B40" s="14"/>
      <c r="C40" s="14"/>
      <c r="D40" s="8"/>
      <c r="E40" s="8"/>
      <c r="F40" s="20"/>
      <c r="G40" s="20"/>
      <c r="H40" s="9"/>
      <c r="I40" s="9"/>
      <c r="J40" s="9"/>
      <c r="K40" s="10"/>
      <c r="L40" s="9"/>
      <c r="M40" s="9"/>
      <c r="N40" s="9"/>
      <c r="O40" s="9"/>
      <c r="P40" s="9"/>
      <c r="Q40" s="9"/>
      <c r="R40" s="5"/>
      <c r="S40" s="10"/>
      <c r="T40" s="12"/>
      <c r="U40" s="13"/>
      <c r="V40" s="5"/>
      <c r="W40" s="5"/>
      <c r="Y40" s="5"/>
      <c r="Z40" s="10"/>
      <c r="AA40" s="9"/>
      <c r="AB40" s="5"/>
      <c r="AC40" s="11"/>
    </row>
    <row r="41" spans="1:29" x14ac:dyDescent="0.2">
      <c r="A41" s="8"/>
      <c r="B41" s="14"/>
      <c r="C41" s="14"/>
      <c r="D41" s="8"/>
      <c r="E41" s="8"/>
      <c r="F41" s="20"/>
      <c r="G41" s="20"/>
      <c r="H41" s="9"/>
      <c r="I41" s="9"/>
      <c r="J41" s="9"/>
      <c r="K41" s="10"/>
      <c r="L41" s="9"/>
      <c r="M41" s="9"/>
      <c r="N41" s="9"/>
      <c r="O41" s="9"/>
      <c r="P41" s="9"/>
      <c r="Q41" s="9"/>
      <c r="R41" s="5"/>
      <c r="S41" s="10"/>
      <c r="T41" s="12"/>
      <c r="U41" s="13"/>
      <c r="V41" s="5"/>
      <c r="W41" s="5"/>
      <c r="Y41" s="5"/>
      <c r="Z41" s="10"/>
      <c r="AA41" s="9"/>
      <c r="AB41" s="5"/>
      <c r="AC41" s="11"/>
    </row>
    <row r="42" spans="1:29" x14ac:dyDescent="0.2">
      <c r="A42" s="8"/>
      <c r="B42" s="14"/>
      <c r="C42" s="14"/>
      <c r="D42" s="8"/>
      <c r="E42" s="8"/>
      <c r="F42" s="20"/>
      <c r="G42" s="20"/>
      <c r="H42" s="9"/>
      <c r="I42" s="9"/>
      <c r="J42" s="9"/>
      <c r="K42" s="10"/>
      <c r="L42" s="9"/>
      <c r="M42" s="9"/>
      <c r="N42" s="9"/>
      <c r="O42" s="9"/>
      <c r="P42" s="9"/>
      <c r="Q42" s="9"/>
      <c r="R42" s="5"/>
      <c r="S42" s="10"/>
      <c r="T42" s="12"/>
      <c r="U42" s="13"/>
      <c r="V42" s="5"/>
      <c r="W42" s="5"/>
      <c r="Y42" s="5"/>
      <c r="Z42" s="10"/>
      <c r="AA42" s="9"/>
      <c r="AB42" s="5"/>
      <c r="AC42" s="11"/>
    </row>
    <row r="43" spans="1:29" x14ac:dyDescent="0.2">
      <c r="A43" s="8"/>
      <c r="B43" s="14"/>
      <c r="C43" s="14"/>
      <c r="D43" s="8"/>
      <c r="E43" s="8"/>
      <c r="F43" s="20"/>
      <c r="G43" s="20"/>
      <c r="H43" s="9"/>
      <c r="I43" s="9"/>
      <c r="J43" s="9"/>
      <c r="K43" s="10"/>
      <c r="L43" s="9"/>
      <c r="M43" s="9"/>
      <c r="N43" s="9"/>
      <c r="O43" s="9"/>
      <c r="P43" s="9"/>
      <c r="Q43" s="9"/>
      <c r="R43" s="5"/>
      <c r="S43" s="10"/>
      <c r="T43" s="12"/>
      <c r="U43" s="13"/>
      <c r="V43" s="5"/>
      <c r="W43" s="5"/>
      <c r="Y43" s="5"/>
      <c r="Z43" s="10"/>
      <c r="AA43" s="9"/>
      <c r="AB43" s="5"/>
      <c r="AC43" s="11"/>
    </row>
    <row r="44" spans="1:29" x14ac:dyDescent="0.2">
      <c r="A44" s="8"/>
      <c r="B44" s="14"/>
      <c r="C44" s="14"/>
      <c r="D44" s="8"/>
      <c r="E44" s="8"/>
      <c r="F44" s="20"/>
      <c r="G44" s="20"/>
      <c r="H44" s="9"/>
      <c r="I44" s="9"/>
      <c r="J44" s="9"/>
      <c r="K44" s="10"/>
      <c r="L44" s="9"/>
      <c r="M44" s="9"/>
      <c r="N44" s="9"/>
      <c r="O44" s="9"/>
      <c r="P44" s="9"/>
      <c r="Q44" s="9"/>
      <c r="R44" s="5"/>
      <c r="S44" s="10"/>
      <c r="T44" s="12"/>
      <c r="U44" s="13"/>
      <c r="V44" s="5"/>
      <c r="W44" s="5"/>
      <c r="Y44" s="5"/>
      <c r="Z44" s="10"/>
      <c r="AA44" s="9"/>
      <c r="AB44" s="5"/>
      <c r="AC44" s="11"/>
    </row>
    <row r="45" spans="1:29" x14ac:dyDescent="0.2">
      <c r="A45" s="8"/>
      <c r="B45" s="14"/>
      <c r="C45" s="14"/>
      <c r="D45" s="8"/>
      <c r="E45" s="8"/>
      <c r="F45" s="20"/>
      <c r="G45" s="20"/>
      <c r="H45" s="9"/>
      <c r="I45" s="9"/>
      <c r="J45" s="9"/>
      <c r="K45" s="10"/>
      <c r="L45" s="9"/>
      <c r="M45" s="9"/>
      <c r="N45" s="9"/>
      <c r="O45" s="9"/>
      <c r="P45" s="9"/>
      <c r="Q45" s="9"/>
      <c r="R45" s="5"/>
      <c r="S45" s="10"/>
      <c r="T45" s="12"/>
      <c r="U45" s="13"/>
      <c r="V45" s="5"/>
      <c r="W45" s="5"/>
      <c r="Y45" s="5"/>
      <c r="Z45" s="10"/>
      <c r="AA45" s="9"/>
      <c r="AB45" s="5"/>
      <c r="AC45" s="11"/>
    </row>
    <row r="46" spans="1:29" x14ac:dyDescent="0.2">
      <c r="A46" s="8"/>
      <c r="B46" s="14"/>
      <c r="C46" s="14"/>
      <c r="D46" s="8"/>
      <c r="E46" s="8"/>
      <c r="F46" s="20"/>
      <c r="G46" s="20"/>
      <c r="H46" s="9"/>
      <c r="I46" s="9"/>
      <c r="J46" s="9"/>
      <c r="K46" s="10"/>
      <c r="L46" s="9"/>
      <c r="M46" s="9"/>
      <c r="N46" s="9"/>
      <c r="O46" s="9"/>
      <c r="P46" s="9"/>
      <c r="Q46" s="9"/>
      <c r="R46" s="5"/>
      <c r="S46" s="10"/>
      <c r="T46" s="12"/>
      <c r="U46" s="13"/>
      <c r="V46" s="5"/>
      <c r="W46" s="5"/>
      <c r="Y46" s="5"/>
      <c r="Z46" s="10"/>
      <c r="AA46" s="9"/>
      <c r="AB46" s="5"/>
      <c r="AC46" s="11"/>
    </row>
    <row r="47" spans="1:29" x14ac:dyDescent="0.2">
      <c r="A47" s="8"/>
      <c r="B47" s="14"/>
      <c r="C47" s="14"/>
      <c r="D47" s="8"/>
      <c r="E47" s="8"/>
      <c r="F47" s="20"/>
      <c r="G47" s="20"/>
      <c r="H47" s="9"/>
      <c r="I47" s="9"/>
      <c r="J47" s="9"/>
      <c r="K47" s="9"/>
      <c r="L47" s="9"/>
      <c r="M47" s="9"/>
      <c r="N47" s="9"/>
      <c r="O47" s="9"/>
      <c r="P47" s="9"/>
      <c r="Q47" s="9"/>
      <c r="R47" s="5"/>
      <c r="S47" s="10"/>
      <c r="T47" s="11"/>
      <c r="U47" s="13"/>
      <c r="V47" s="5"/>
      <c r="W47" s="5"/>
      <c r="Y47" s="5"/>
      <c r="Z47" s="10"/>
      <c r="AA47" s="9"/>
      <c r="AB47" s="5"/>
      <c r="AC47" s="11"/>
    </row>
    <row r="48" spans="1:29" s="6" customFormat="1" x14ac:dyDescent="0.2">
      <c r="A48" s="8"/>
      <c r="B48" s="14"/>
      <c r="C48" s="14"/>
      <c r="D48" s="8"/>
      <c r="E48" s="8"/>
      <c r="F48" s="20"/>
      <c r="G48" s="20"/>
      <c r="H48" s="9"/>
      <c r="I48" s="9"/>
      <c r="J48" s="9"/>
      <c r="K48" s="9"/>
      <c r="L48" s="9"/>
      <c r="M48" s="9"/>
      <c r="N48" s="9"/>
      <c r="O48" s="9"/>
      <c r="P48" s="9"/>
      <c r="Q48" s="9"/>
      <c r="R48" s="5"/>
      <c r="S48" s="10"/>
      <c r="T48" s="11"/>
      <c r="U48" s="13"/>
      <c r="V48" s="5"/>
      <c r="W48" s="5"/>
      <c r="Y48" s="5"/>
      <c r="Z48" s="10"/>
      <c r="AA48" s="9"/>
      <c r="AB48" s="5"/>
      <c r="AC48" s="11"/>
    </row>
    <row r="49" spans="1:29" s="6" customFormat="1" x14ac:dyDescent="0.2">
      <c r="A49" s="8"/>
      <c r="B49" s="14"/>
      <c r="C49" s="14"/>
      <c r="D49" s="8"/>
      <c r="E49" s="8"/>
      <c r="F49" s="20"/>
      <c r="G49" s="20"/>
      <c r="H49" s="9"/>
      <c r="I49" s="9"/>
      <c r="J49" s="9"/>
      <c r="K49" s="9"/>
      <c r="L49" s="9"/>
      <c r="M49" s="9"/>
      <c r="N49" s="9"/>
      <c r="O49" s="9"/>
      <c r="P49" s="9"/>
      <c r="Q49" s="9"/>
      <c r="R49" s="5"/>
      <c r="S49" s="10"/>
      <c r="T49" s="11"/>
      <c r="U49" s="13"/>
      <c r="V49" s="5"/>
      <c r="W49" s="5"/>
      <c r="Y49" s="5"/>
      <c r="Z49" s="10"/>
      <c r="AA49" s="9"/>
      <c r="AB49" s="5"/>
      <c r="AC49" s="11"/>
    </row>
    <row r="50" spans="1:29" x14ac:dyDescent="0.2">
      <c r="A50" s="8"/>
      <c r="B50" s="14"/>
      <c r="C50" s="14"/>
      <c r="D50" s="8"/>
      <c r="E50" s="8"/>
      <c r="F50" s="20"/>
      <c r="G50" s="20"/>
      <c r="H50" s="9"/>
      <c r="I50" s="9"/>
      <c r="J50" s="9"/>
      <c r="K50" s="9"/>
      <c r="L50" s="9"/>
      <c r="M50" s="9"/>
      <c r="N50" s="9"/>
      <c r="O50" s="9"/>
      <c r="P50" s="9"/>
      <c r="Q50" s="9"/>
      <c r="R50" s="5"/>
      <c r="S50" s="10"/>
      <c r="T50" s="11"/>
      <c r="U50" s="13"/>
      <c r="V50" s="5"/>
      <c r="W50" s="5"/>
      <c r="Y50" s="5"/>
      <c r="Z50" s="10"/>
      <c r="AA50" s="9"/>
      <c r="AB50" s="5"/>
      <c r="AC50" s="11"/>
    </row>
    <row r="51" spans="1:29" x14ac:dyDescent="0.2">
      <c r="A51" s="8"/>
      <c r="B51" s="14"/>
      <c r="C51" s="14"/>
      <c r="D51" s="8"/>
      <c r="E51" s="8"/>
      <c r="F51" s="20"/>
      <c r="G51" s="20"/>
      <c r="H51" s="9"/>
      <c r="I51" s="9"/>
      <c r="J51" s="9"/>
      <c r="K51" s="9"/>
      <c r="L51" s="9"/>
      <c r="M51" s="9"/>
      <c r="N51" s="9"/>
      <c r="O51" s="9"/>
      <c r="P51" s="9"/>
      <c r="Q51" s="9"/>
      <c r="R51" s="5"/>
      <c r="S51" s="10"/>
      <c r="T51" s="11"/>
      <c r="U51" s="13"/>
      <c r="V51" s="5"/>
      <c r="W51" s="5"/>
      <c r="Y51" s="5"/>
      <c r="Z51" s="10"/>
      <c r="AA51" s="9"/>
      <c r="AB51" s="5"/>
      <c r="AC51" s="11"/>
    </row>
    <row r="52" spans="1:29" x14ac:dyDescent="0.2">
      <c r="A52" s="8"/>
      <c r="B52" s="14"/>
      <c r="C52" s="14"/>
      <c r="D52" s="18"/>
      <c r="E52" s="18"/>
      <c r="F52" s="20"/>
      <c r="G52" s="20"/>
      <c r="H52" s="9"/>
      <c r="I52" s="9"/>
      <c r="J52" s="9"/>
      <c r="K52" s="9"/>
      <c r="L52" s="9"/>
      <c r="M52" s="9"/>
      <c r="N52" s="9"/>
      <c r="O52" s="9"/>
      <c r="P52" s="9"/>
      <c r="Q52" s="9"/>
      <c r="R52" s="5"/>
      <c r="S52" s="10"/>
      <c r="T52" s="11"/>
      <c r="U52" s="13"/>
      <c r="V52" s="5"/>
      <c r="W52" s="5"/>
      <c r="X52" s="10"/>
      <c r="Y52" s="5"/>
      <c r="Z52" s="10"/>
      <c r="AA52" s="9"/>
      <c r="AB52" s="5"/>
      <c r="AC52" s="11"/>
    </row>
    <row r="53" spans="1:29" x14ac:dyDescent="0.2">
      <c r="A53" s="8"/>
      <c r="B53" s="14"/>
      <c r="C53" s="14"/>
      <c r="D53" s="18"/>
      <c r="E53" s="18"/>
      <c r="F53" s="20"/>
      <c r="G53" s="20"/>
      <c r="H53" s="9"/>
      <c r="I53" s="9"/>
      <c r="J53" s="9"/>
      <c r="K53" s="9"/>
      <c r="L53" s="9"/>
      <c r="M53" s="9"/>
      <c r="N53" s="9"/>
      <c r="O53" s="9"/>
      <c r="P53" s="9"/>
      <c r="Q53" s="9"/>
      <c r="R53" s="5"/>
      <c r="S53" s="10"/>
      <c r="T53" s="11"/>
      <c r="U53" s="13"/>
      <c r="V53" s="5"/>
      <c r="W53" s="5"/>
      <c r="X53" s="10"/>
      <c r="Y53" s="5"/>
      <c r="Z53" s="10"/>
      <c r="AA53" s="9"/>
      <c r="AB53" s="5"/>
      <c r="AC53" s="11"/>
    </row>
    <row r="54" spans="1:29" x14ac:dyDescent="0.2">
      <c r="A54" s="8"/>
      <c r="B54" s="14"/>
      <c r="C54" s="14"/>
      <c r="D54" s="8"/>
      <c r="E54" s="8"/>
      <c r="F54" s="20"/>
      <c r="G54" s="20"/>
      <c r="H54" s="9"/>
      <c r="I54" s="9"/>
      <c r="J54" s="9"/>
      <c r="K54" s="9"/>
      <c r="L54" s="9"/>
      <c r="M54" s="9"/>
      <c r="N54" s="9"/>
      <c r="O54" s="9"/>
      <c r="P54" s="9"/>
      <c r="Q54" s="9"/>
      <c r="R54" s="5"/>
      <c r="S54" s="10"/>
      <c r="T54" s="11"/>
      <c r="U54" s="13"/>
      <c r="V54" s="5"/>
      <c r="W54" s="5"/>
      <c r="X54" s="10"/>
      <c r="Y54" s="5"/>
      <c r="Z54" s="10"/>
      <c r="AA54" s="9"/>
      <c r="AB54" s="5"/>
      <c r="AC54" s="11"/>
    </row>
    <row r="55" spans="1:29" x14ac:dyDescent="0.2">
      <c r="A55" s="8"/>
      <c r="B55" s="14"/>
      <c r="C55" s="14"/>
      <c r="D55" s="8"/>
      <c r="E55" s="8"/>
      <c r="F55" s="20"/>
      <c r="G55" s="20"/>
      <c r="H55" s="9"/>
      <c r="I55" s="9"/>
      <c r="J55" s="9"/>
      <c r="K55" s="9"/>
      <c r="L55" s="9"/>
      <c r="M55" s="9"/>
      <c r="N55" s="9"/>
      <c r="O55" s="9"/>
      <c r="P55" s="9"/>
      <c r="Q55" s="9"/>
      <c r="R55" s="5"/>
      <c r="S55" s="10"/>
      <c r="T55" s="11"/>
      <c r="U55" s="13"/>
      <c r="V55" s="5"/>
      <c r="W55" s="5"/>
      <c r="X55" s="10"/>
      <c r="Y55" s="5"/>
      <c r="Z55" s="10"/>
      <c r="AA55" s="9"/>
      <c r="AB55" s="5"/>
      <c r="AC55" s="11"/>
    </row>
    <row r="56" spans="1:29" x14ac:dyDescent="0.2">
      <c r="A56" s="8"/>
      <c r="B56" s="14"/>
      <c r="C56" s="14"/>
      <c r="D56" s="8"/>
      <c r="E56" s="8"/>
      <c r="F56" s="20"/>
      <c r="G56" s="20"/>
      <c r="H56" s="9"/>
      <c r="I56" s="9"/>
      <c r="J56" s="9"/>
      <c r="K56" s="9"/>
      <c r="L56" s="9"/>
      <c r="M56" s="9"/>
      <c r="N56" s="9"/>
      <c r="O56" s="9"/>
      <c r="P56" s="9"/>
      <c r="Q56" s="9"/>
      <c r="R56" s="5"/>
      <c r="S56" s="10"/>
      <c r="T56" s="11"/>
      <c r="U56" s="13"/>
      <c r="V56" s="5"/>
      <c r="W56" s="5"/>
      <c r="X56" s="10"/>
      <c r="Y56" s="5"/>
      <c r="Z56" s="10"/>
      <c r="AA56" s="9"/>
      <c r="AB56" s="5"/>
      <c r="AC56" s="11"/>
    </row>
    <row r="57" spans="1:29" x14ac:dyDescent="0.2">
      <c r="A57" s="8"/>
      <c r="B57" s="14"/>
      <c r="C57" s="14"/>
      <c r="D57" s="8"/>
      <c r="E57" s="8"/>
      <c r="F57" s="20"/>
      <c r="G57" s="20"/>
      <c r="H57" s="9"/>
      <c r="I57" s="9"/>
      <c r="J57" s="9"/>
      <c r="K57" s="9"/>
      <c r="L57" s="9"/>
      <c r="M57" s="9"/>
      <c r="N57" s="9"/>
      <c r="O57" s="9"/>
      <c r="P57" s="9"/>
      <c r="Q57" s="9"/>
      <c r="R57" s="5"/>
      <c r="S57" s="10"/>
      <c r="T57" s="11"/>
      <c r="U57" s="13"/>
      <c r="V57" s="5"/>
      <c r="W57" s="5"/>
      <c r="X57" s="10"/>
      <c r="Y57" s="5"/>
      <c r="Z57" s="10"/>
      <c r="AA57" s="9"/>
      <c r="AB57" s="5"/>
      <c r="AC57" s="11"/>
    </row>
    <row r="58" spans="1:29" x14ac:dyDescent="0.2">
      <c r="A58" s="8"/>
      <c r="B58" s="14"/>
      <c r="C58" s="14"/>
      <c r="D58" s="8"/>
      <c r="E58" s="8"/>
      <c r="F58" s="20"/>
      <c r="G58" s="20"/>
      <c r="H58" s="9"/>
      <c r="I58" s="9"/>
      <c r="J58" s="9"/>
      <c r="K58" s="9"/>
      <c r="L58" s="9"/>
      <c r="M58" s="9"/>
      <c r="N58" s="9"/>
      <c r="O58" s="9"/>
      <c r="P58" s="9"/>
      <c r="Q58" s="9"/>
      <c r="R58" s="5"/>
      <c r="S58" s="10"/>
      <c r="T58" s="11"/>
      <c r="U58" s="13"/>
      <c r="V58" s="5"/>
      <c r="W58" s="5"/>
      <c r="X58" s="10"/>
      <c r="Y58" s="5"/>
      <c r="Z58" s="10"/>
      <c r="AA58" s="9"/>
      <c r="AB58" s="5"/>
      <c r="AC58" s="11"/>
    </row>
    <row r="59" spans="1:29" x14ac:dyDescent="0.2">
      <c r="A59" s="8"/>
      <c r="B59" s="14"/>
      <c r="C59" s="14"/>
      <c r="D59" s="8"/>
      <c r="E59" s="8"/>
      <c r="F59" s="20"/>
      <c r="G59" s="20"/>
      <c r="H59" s="9"/>
      <c r="I59" s="9"/>
      <c r="J59" s="9"/>
      <c r="K59" s="9"/>
      <c r="L59" s="9"/>
      <c r="M59" s="9"/>
      <c r="N59" s="9"/>
      <c r="O59" s="9"/>
      <c r="P59" s="9"/>
      <c r="Q59" s="9"/>
      <c r="R59" s="5"/>
      <c r="S59" s="10"/>
      <c r="T59" s="11"/>
      <c r="U59" s="13"/>
      <c r="V59" s="5"/>
      <c r="W59" s="5"/>
      <c r="X59" s="10"/>
      <c r="Y59" s="5"/>
      <c r="Z59" s="10"/>
      <c r="AA59" s="9"/>
      <c r="AB59" s="5"/>
      <c r="AC59" s="11"/>
    </row>
    <row r="60" spans="1:29" x14ac:dyDescent="0.2">
      <c r="A60" s="8"/>
      <c r="B60" s="14"/>
      <c r="C60" s="14"/>
      <c r="D60" s="8"/>
      <c r="E60" s="8"/>
      <c r="F60" s="20"/>
      <c r="G60" s="20"/>
      <c r="H60" s="9"/>
      <c r="I60" s="9"/>
      <c r="J60" s="9"/>
      <c r="K60" s="9"/>
      <c r="L60" s="9"/>
      <c r="M60" s="9"/>
      <c r="N60" s="9"/>
      <c r="O60" s="9"/>
      <c r="P60" s="9"/>
      <c r="Q60" s="9"/>
      <c r="R60" s="5"/>
      <c r="S60" s="10"/>
      <c r="T60" s="11"/>
      <c r="U60" s="13"/>
      <c r="V60" s="5"/>
      <c r="W60" s="5"/>
      <c r="X60" s="10"/>
      <c r="Y60" s="5"/>
      <c r="Z60" s="10"/>
      <c r="AA60" s="9"/>
      <c r="AB60" s="5"/>
      <c r="AC60" s="11"/>
    </row>
    <row r="61" spans="1:29" x14ac:dyDescent="0.2">
      <c r="A61" s="8"/>
      <c r="B61" s="14"/>
      <c r="C61" s="14"/>
      <c r="D61" s="8"/>
      <c r="E61" s="8"/>
      <c r="F61" s="20"/>
      <c r="G61" s="20"/>
      <c r="H61" s="9"/>
      <c r="I61" s="9"/>
      <c r="J61" s="9"/>
      <c r="K61" s="9"/>
      <c r="L61" s="9"/>
      <c r="M61" s="9"/>
      <c r="N61" s="9"/>
      <c r="O61" s="9"/>
      <c r="P61" s="9"/>
      <c r="Q61" s="9"/>
      <c r="R61" s="5"/>
      <c r="S61" s="10"/>
      <c r="T61" s="11"/>
      <c r="U61" s="13"/>
      <c r="V61" s="5"/>
      <c r="W61" s="5"/>
      <c r="X61" s="10"/>
      <c r="Y61" s="5"/>
      <c r="Z61" s="10"/>
      <c r="AA61" s="9"/>
      <c r="AB61" s="5"/>
      <c r="AC61" s="11"/>
    </row>
    <row r="62" spans="1:29" x14ac:dyDescent="0.2">
      <c r="A62" s="8"/>
      <c r="B62" s="14"/>
      <c r="C62" s="14"/>
      <c r="D62" s="8"/>
      <c r="E62" s="8"/>
      <c r="F62" s="20"/>
      <c r="G62" s="20"/>
      <c r="H62" s="9"/>
      <c r="I62" s="9"/>
      <c r="J62" s="9"/>
      <c r="K62" s="9"/>
      <c r="L62" s="9"/>
      <c r="M62" s="9"/>
      <c r="N62" s="9"/>
      <c r="O62" s="9"/>
      <c r="P62" s="9"/>
      <c r="Q62" s="9"/>
      <c r="R62" s="5"/>
      <c r="S62" s="10"/>
      <c r="T62" s="11"/>
      <c r="U62" s="13"/>
      <c r="V62" s="5"/>
      <c r="W62" s="5"/>
      <c r="X62" s="10"/>
      <c r="Y62" s="5"/>
      <c r="Z62" s="10"/>
      <c r="AA62" s="9"/>
      <c r="AB62" s="5"/>
      <c r="AC62" s="11"/>
    </row>
    <row r="63" spans="1:29" x14ac:dyDescent="0.2">
      <c r="A63" s="8"/>
      <c r="B63" s="14"/>
      <c r="C63" s="14"/>
      <c r="D63" s="8"/>
      <c r="E63" s="8"/>
      <c r="F63" s="20"/>
      <c r="G63" s="20"/>
      <c r="H63" s="9"/>
      <c r="I63" s="9"/>
      <c r="J63" s="9"/>
      <c r="K63" s="9"/>
      <c r="L63" s="9"/>
      <c r="M63" s="9"/>
      <c r="N63" s="9"/>
      <c r="O63" s="9"/>
      <c r="P63" s="9"/>
      <c r="Q63" s="9"/>
      <c r="R63" s="5"/>
      <c r="S63" s="10"/>
      <c r="T63" s="11"/>
      <c r="U63" s="13"/>
      <c r="V63" s="5"/>
      <c r="W63" s="5"/>
      <c r="X63" s="10"/>
      <c r="Y63" s="5"/>
      <c r="Z63" s="10"/>
      <c r="AA63" s="9"/>
      <c r="AB63" s="5"/>
      <c r="AC63" s="11"/>
    </row>
    <row r="64" spans="1:29" x14ac:dyDescent="0.2">
      <c r="A64" s="8"/>
      <c r="B64" s="14"/>
      <c r="C64" s="14"/>
      <c r="D64" s="8"/>
      <c r="E64" s="8"/>
      <c r="F64" s="20"/>
      <c r="G64" s="20"/>
      <c r="H64" s="9"/>
      <c r="I64" s="9"/>
      <c r="J64" s="9"/>
      <c r="K64" s="9"/>
      <c r="L64" s="9"/>
      <c r="M64" s="9"/>
      <c r="N64" s="9"/>
      <c r="O64" s="9"/>
      <c r="P64" s="9"/>
      <c r="Q64" s="9"/>
      <c r="R64" s="5"/>
      <c r="S64" s="10"/>
      <c r="T64" s="11"/>
      <c r="U64" s="13"/>
      <c r="V64" s="5"/>
      <c r="W64" s="5"/>
      <c r="X64" s="10"/>
      <c r="Y64" s="5"/>
      <c r="Z64" s="10"/>
      <c r="AA64" s="9"/>
      <c r="AB64" s="5"/>
      <c r="AC64" s="11"/>
    </row>
    <row r="65" spans="1:29" x14ac:dyDescent="0.2">
      <c r="A65" s="8"/>
      <c r="B65" s="14"/>
      <c r="C65" s="14"/>
      <c r="D65" s="8"/>
      <c r="E65" s="8"/>
      <c r="F65" s="20"/>
      <c r="G65" s="20"/>
      <c r="H65" s="9"/>
      <c r="I65" s="9"/>
      <c r="J65" s="9"/>
      <c r="K65" s="9"/>
      <c r="L65" s="9"/>
      <c r="M65" s="9"/>
      <c r="N65" s="9"/>
      <c r="O65" s="9"/>
      <c r="P65" s="9"/>
      <c r="Q65" s="9"/>
      <c r="R65" s="5"/>
      <c r="S65" s="10"/>
      <c r="T65" s="11"/>
      <c r="U65" s="13"/>
      <c r="V65" s="5"/>
      <c r="W65" s="5"/>
      <c r="X65" s="10"/>
      <c r="Y65" s="5"/>
      <c r="Z65" s="10"/>
      <c r="AA65" s="9"/>
      <c r="AB65" s="5"/>
      <c r="AC65" s="11"/>
    </row>
    <row r="66" spans="1:29" x14ac:dyDescent="0.2">
      <c r="A66" s="8"/>
      <c r="B66" s="14"/>
      <c r="C66" s="14"/>
      <c r="D66" s="8"/>
      <c r="E66" s="8"/>
      <c r="F66" s="20"/>
      <c r="G66" s="20"/>
      <c r="H66" s="9"/>
      <c r="I66" s="9"/>
      <c r="J66" s="9"/>
      <c r="K66" s="9"/>
      <c r="L66" s="9"/>
      <c r="M66" s="9"/>
      <c r="N66" s="9"/>
      <c r="O66" s="9"/>
      <c r="P66" s="9"/>
      <c r="Q66" s="9"/>
      <c r="R66" s="5"/>
      <c r="S66" s="10"/>
      <c r="T66" s="11"/>
      <c r="U66" s="13"/>
      <c r="V66" s="5"/>
      <c r="W66" s="5"/>
      <c r="X66" s="10"/>
      <c r="Y66" s="5"/>
      <c r="Z66" s="10"/>
      <c r="AA66" s="9"/>
      <c r="AB66" s="5"/>
      <c r="AC66" s="11"/>
    </row>
    <row r="67" spans="1:29" x14ac:dyDescent="0.2">
      <c r="A67" s="8"/>
      <c r="B67" s="14"/>
      <c r="C67" s="14"/>
      <c r="D67" s="8"/>
      <c r="E67" s="8"/>
      <c r="F67" s="20"/>
      <c r="G67" s="20"/>
      <c r="H67" s="9"/>
      <c r="I67" s="9"/>
      <c r="J67" s="9"/>
      <c r="K67" s="9"/>
      <c r="L67" s="9"/>
      <c r="M67" s="9"/>
      <c r="N67" s="9"/>
      <c r="O67" s="9"/>
      <c r="P67" s="9"/>
      <c r="Q67" s="9"/>
      <c r="R67" s="5"/>
      <c r="S67" s="10"/>
      <c r="T67" s="11"/>
      <c r="U67" s="13"/>
      <c r="V67" s="5"/>
      <c r="W67" s="5"/>
      <c r="X67" s="10"/>
      <c r="Y67" s="5"/>
      <c r="Z67" s="10"/>
      <c r="AA67" s="9"/>
      <c r="AB67" s="5"/>
      <c r="AC67" s="11"/>
    </row>
    <row r="68" spans="1:29" x14ac:dyDescent="0.2">
      <c r="A68" s="8"/>
      <c r="B68" s="14"/>
      <c r="C68" s="14"/>
      <c r="D68" s="8"/>
      <c r="E68" s="8"/>
      <c r="F68" s="20"/>
      <c r="G68" s="20"/>
      <c r="H68" s="9"/>
      <c r="I68" s="9"/>
      <c r="J68" s="9"/>
      <c r="K68" s="9"/>
      <c r="L68" s="9"/>
      <c r="M68" s="9"/>
      <c r="N68" s="9"/>
      <c r="O68" s="9"/>
      <c r="P68" s="9"/>
      <c r="Q68" s="9"/>
      <c r="R68" s="5"/>
      <c r="S68" s="10"/>
      <c r="T68" s="11"/>
      <c r="U68" s="13"/>
      <c r="V68" s="5"/>
      <c r="W68" s="5"/>
      <c r="X68" s="10"/>
      <c r="Y68" s="5"/>
      <c r="Z68" s="10"/>
      <c r="AA68" s="9"/>
      <c r="AB68" s="5"/>
      <c r="AC68" s="11"/>
    </row>
    <row r="69" spans="1:29" x14ac:dyDescent="0.2">
      <c r="A69" s="8"/>
      <c r="B69" s="14"/>
      <c r="C69" s="14"/>
      <c r="D69" s="8"/>
      <c r="E69" s="8"/>
      <c r="F69" s="20"/>
      <c r="G69" s="20"/>
      <c r="H69" s="9"/>
      <c r="I69" s="9"/>
      <c r="J69" s="9"/>
      <c r="K69" s="9"/>
      <c r="L69" s="9"/>
      <c r="M69" s="9"/>
      <c r="N69" s="9"/>
      <c r="O69" s="9"/>
      <c r="P69" s="9"/>
      <c r="Q69" s="9"/>
      <c r="R69" s="5"/>
      <c r="S69" s="10"/>
      <c r="T69" s="11"/>
      <c r="U69" s="13"/>
      <c r="V69" s="5"/>
      <c r="W69" s="5"/>
      <c r="X69" s="10"/>
      <c r="Y69" s="5"/>
      <c r="Z69" s="10"/>
      <c r="AA69" s="9"/>
      <c r="AB69" s="5"/>
      <c r="AC69" s="11"/>
    </row>
    <row r="70" spans="1:29" x14ac:dyDescent="0.2">
      <c r="A70" s="8"/>
      <c r="B70" s="14"/>
      <c r="C70" s="14"/>
      <c r="D70" s="18"/>
      <c r="E70" s="18"/>
      <c r="F70" s="20"/>
      <c r="G70" s="20"/>
      <c r="H70" s="9"/>
      <c r="I70" s="9"/>
      <c r="J70" s="9"/>
      <c r="K70" s="9"/>
      <c r="L70" s="9"/>
      <c r="M70" s="9"/>
      <c r="N70" s="9"/>
      <c r="O70" s="9"/>
      <c r="P70" s="9"/>
      <c r="Q70" s="9"/>
      <c r="R70" s="5"/>
      <c r="S70" s="10"/>
      <c r="T70" s="11"/>
      <c r="U70" s="13"/>
      <c r="V70" s="5"/>
      <c r="W70" s="5"/>
      <c r="X70" s="10"/>
      <c r="Y70" s="5"/>
      <c r="Z70" s="10"/>
      <c r="AA70" s="9"/>
      <c r="AB70" s="5"/>
      <c r="AC70" s="11"/>
    </row>
    <row r="71" spans="1:29" x14ac:dyDescent="0.2">
      <c r="A71" s="8"/>
      <c r="B71" s="14"/>
      <c r="C71" s="14"/>
      <c r="D71" s="18"/>
      <c r="E71" s="18"/>
      <c r="F71" s="20"/>
      <c r="G71" s="20"/>
      <c r="H71" s="9"/>
      <c r="I71" s="9"/>
      <c r="J71" s="9"/>
      <c r="K71" s="9"/>
      <c r="L71" s="9"/>
      <c r="M71" s="9"/>
      <c r="N71" s="9"/>
      <c r="O71" s="9"/>
      <c r="P71" s="9"/>
      <c r="Q71" s="9"/>
      <c r="R71" s="5"/>
      <c r="S71" s="10"/>
      <c r="T71" s="11"/>
      <c r="U71" s="13"/>
      <c r="V71" s="5"/>
      <c r="W71" s="5"/>
      <c r="X71" s="10"/>
      <c r="Y71" s="5"/>
      <c r="Z71" s="10"/>
      <c r="AA71" s="9"/>
      <c r="AB71" s="5"/>
      <c r="AC71" s="11"/>
    </row>
    <row r="72" spans="1:29" x14ac:dyDescent="0.2">
      <c r="A72" s="8"/>
      <c r="B72" s="14"/>
      <c r="C72" s="14"/>
      <c r="D72" s="8"/>
      <c r="E72" s="8"/>
      <c r="F72" s="20"/>
      <c r="G72" s="20"/>
      <c r="H72" s="9"/>
      <c r="I72" s="9"/>
      <c r="J72" s="9"/>
      <c r="K72" s="9"/>
      <c r="L72" s="9"/>
      <c r="M72" s="9"/>
      <c r="N72" s="9"/>
      <c r="O72" s="9"/>
      <c r="P72" s="9"/>
      <c r="Q72" s="9"/>
      <c r="R72" s="5"/>
      <c r="S72" s="10"/>
      <c r="T72" s="11"/>
      <c r="U72" s="13"/>
      <c r="V72" s="5"/>
      <c r="W72" s="5"/>
      <c r="X72" s="10"/>
      <c r="Y72" s="5"/>
      <c r="Z72" s="10"/>
      <c r="AA72" s="9"/>
      <c r="AB72" s="5"/>
      <c r="AC72" s="11"/>
    </row>
    <row r="73" spans="1:29" x14ac:dyDescent="0.2">
      <c r="A73" s="8"/>
      <c r="B73" s="14"/>
      <c r="C73" s="14"/>
      <c r="D73" s="8"/>
      <c r="E73" s="8"/>
      <c r="F73" s="20"/>
      <c r="G73" s="20"/>
      <c r="H73" s="9"/>
      <c r="I73" s="9"/>
      <c r="J73" s="9"/>
      <c r="K73" s="9"/>
      <c r="L73" s="9"/>
      <c r="M73" s="9"/>
      <c r="N73" s="9"/>
      <c r="O73" s="9"/>
      <c r="P73" s="9"/>
      <c r="Q73" s="9"/>
      <c r="R73" s="5"/>
      <c r="S73" s="10"/>
      <c r="T73" s="11"/>
      <c r="U73" s="13"/>
      <c r="V73" s="5"/>
      <c r="W73" s="5"/>
      <c r="X73" s="10"/>
      <c r="Y73" s="5"/>
      <c r="Z73" s="10"/>
      <c r="AA73" s="9"/>
      <c r="AB73" s="5"/>
      <c r="AC73" s="11"/>
    </row>
    <row r="74" spans="1:29" x14ac:dyDescent="0.2">
      <c r="A74" s="8"/>
      <c r="B74" s="14"/>
      <c r="C74" s="14"/>
      <c r="D74" s="8"/>
      <c r="E74" s="8"/>
      <c r="F74" s="20"/>
      <c r="G74" s="20"/>
      <c r="H74" s="9"/>
      <c r="I74" s="9"/>
      <c r="J74" s="9"/>
      <c r="K74" s="9"/>
      <c r="L74" s="9"/>
      <c r="M74" s="9"/>
      <c r="N74" s="9"/>
      <c r="O74" s="9"/>
      <c r="P74" s="9"/>
      <c r="Q74" s="9"/>
      <c r="R74" s="5"/>
      <c r="S74" s="10"/>
      <c r="T74" s="11"/>
      <c r="U74" s="13"/>
      <c r="V74" s="5"/>
      <c r="W74" s="5"/>
      <c r="X74" s="10"/>
      <c r="Y74" s="5"/>
      <c r="Z74" s="10"/>
      <c r="AA74" s="9"/>
      <c r="AB74" s="5"/>
      <c r="AC74" s="11"/>
    </row>
    <row r="75" spans="1:29" x14ac:dyDescent="0.2">
      <c r="A75" s="8"/>
      <c r="B75" s="14"/>
      <c r="C75" s="14"/>
      <c r="D75" s="8"/>
      <c r="E75" s="8"/>
      <c r="F75" s="20"/>
      <c r="G75" s="20"/>
      <c r="H75" s="9"/>
      <c r="I75" s="9"/>
      <c r="J75" s="9"/>
      <c r="K75" s="9"/>
      <c r="L75" s="9"/>
      <c r="M75" s="9"/>
      <c r="N75" s="9"/>
      <c r="O75" s="9"/>
      <c r="P75" s="9"/>
      <c r="Q75" s="9"/>
      <c r="R75" s="5"/>
      <c r="S75" s="10"/>
      <c r="T75" s="11"/>
      <c r="U75" s="13"/>
      <c r="V75" s="5"/>
      <c r="W75" s="5"/>
      <c r="X75" s="10"/>
      <c r="Y75" s="5"/>
      <c r="Z75" s="10"/>
      <c r="AA75" s="9"/>
      <c r="AB75" s="5"/>
      <c r="AC75" s="11"/>
    </row>
    <row r="76" spans="1:29" x14ac:dyDescent="0.2">
      <c r="A76" s="8"/>
      <c r="B76" s="14"/>
      <c r="C76" s="14"/>
      <c r="D76" s="8"/>
      <c r="E76" s="8"/>
      <c r="F76" s="20"/>
      <c r="G76" s="20"/>
      <c r="H76" s="9"/>
      <c r="I76" s="9"/>
      <c r="J76" s="9"/>
      <c r="K76" s="9"/>
      <c r="L76" s="9"/>
      <c r="M76" s="9"/>
      <c r="N76" s="9"/>
      <c r="O76" s="9"/>
      <c r="P76" s="9"/>
      <c r="Q76" s="9"/>
      <c r="R76" s="5"/>
      <c r="S76" s="10"/>
      <c r="T76" s="11"/>
      <c r="U76" s="13"/>
      <c r="V76" s="5"/>
      <c r="W76" s="5"/>
      <c r="X76" s="10"/>
      <c r="Y76" s="5"/>
      <c r="Z76" s="10"/>
      <c r="AA76" s="9"/>
      <c r="AB76" s="5"/>
      <c r="AC76" s="11"/>
    </row>
    <row r="77" spans="1:29" x14ac:dyDescent="0.2">
      <c r="A77" s="8"/>
      <c r="B77" s="14"/>
      <c r="C77" s="14"/>
      <c r="D77" s="8"/>
      <c r="E77" s="8"/>
      <c r="F77" s="20"/>
      <c r="G77" s="20"/>
      <c r="H77" s="9"/>
      <c r="I77" s="9"/>
      <c r="J77" s="9"/>
      <c r="K77" s="9"/>
      <c r="L77" s="9"/>
      <c r="M77" s="9"/>
      <c r="N77" s="9"/>
      <c r="O77" s="9"/>
      <c r="P77" s="9"/>
      <c r="Q77" s="9"/>
      <c r="R77" s="5"/>
      <c r="S77" s="10"/>
      <c r="T77" s="11"/>
      <c r="U77" s="13"/>
      <c r="V77" s="5"/>
      <c r="W77" s="5"/>
      <c r="X77" s="10"/>
      <c r="Y77" s="5"/>
      <c r="Z77" s="10"/>
      <c r="AA77" s="9"/>
      <c r="AB77" s="5"/>
      <c r="AC77" s="11"/>
    </row>
    <row r="78" spans="1:29" x14ac:dyDescent="0.2">
      <c r="A78" s="8"/>
      <c r="B78" s="14"/>
      <c r="C78" s="14"/>
      <c r="D78" s="8"/>
      <c r="E78" s="8"/>
      <c r="F78" s="20"/>
      <c r="G78" s="20"/>
      <c r="H78" s="9"/>
      <c r="I78" s="9"/>
      <c r="J78" s="9"/>
      <c r="K78" s="9"/>
      <c r="L78" s="9"/>
      <c r="M78" s="9"/>
      <c r="N78" s="9"/>
      <c r="O78" s="9"/>
      <c r="P78" s="9"/>
      <c r="Q78" s="9"/>
      <c r="R78" s="5"/>
      <c r="S78" s="10"/>
      <c r="T78" s="11"/>
      <c r="U78" s="13"/>
      <c r="V78" s="5"/>
      <c r="W78" s="5"/>
      <c r="X78" s="10"/>
      <c r="Y78" s="5"/>
      <c r="Z78" s="10"/>
      <c r="AA78" s="9"/>
      <c r="AB78" s="5"/>
      <c r="AC78" s="11"/>
    </row>
    <row r="79" spans="1:29" x14ac:dyDescent="0.2">
      <c r="A79" s="8"/>
      <c r="B79" s="14"/>
      <c r="C79" s="14"/>
      <c r="D79" s="8"/>
      <c r="E79" s="8"/>
      <c r="F79" s="20"/>
      <c r="G79" s="20"/>
      <c r="H79" s="9"/>
      <c r="I79" s="9"/>
      <c r="J79" s="9"/>
      <c r="K79" s="9"/>
      <c r="L79" s="9"/>
      <c r="M79" s="9"/>
      <c r="N79" s="9"/>
      <c r="O79" s="9"/>
      <c r="P79" s="9"/>
      <c r="Q79" s="9"/>
      <c r="R79" s="5"/>
      <c r="S79" s="10"/>
      <c r="T79" s="11"/>
      <c r="U79" s="13"/>
      <c r="V79" s="5"/>
      <c r="W79" s="5"/>
      <c r="X79" s="10"/>
      <c r="Y79" s="5"/>
      <c r="Z79" s="10"/>
      <c r="AA79" s="9"/>
      <c r="AB79" s="5"/>
      <c r="AC79" s="11"/>
    </row>
    <row r="80" spans="1:29" x14ac:dyDescent="0.2">
      <c r="A80" s="8"/>
      <c r="B80" s="14"/>
      <c r="C80" s="14"/>
      <c r="D80" s="8"/>
      <c r="E80" s="8"/>
      <c r="F80" s="20"/>
      <c r="G80" s="20"/>
      <c r="H80" s="9"/>
      <c r="I80" s="9"/>
      <c r="J80" s="9"/>
      <c r="K80" s="9"/>
      <c r="L80" s="9"/>
      <c r="M80" s="9"/>
      <c r="N80" s="9"/>
      <c r="O80" s="9"/>
      <c r="P80" s="9"/>
      <c r="Q80" s="9"/>
      <c r="R80" s="5"/>
      <c r="S80" s="10"/>
      <c r="T80" s="11"/>
      <c r="U80" s="13"/>
      <c r="V80" s="5"/>
      <c r="W80" s="5"/>
      <c r="X80" s="10"/>
      <c r="Y80" s="5"/>
      <c r="Z80" s="10"/>
      <c r="AA80" s="9"/>
      <c r="AB80" s="5"/>
      <c r="AC80" s="11"/>
    </row>
    <row r="81" spans="1:29" x14ac:dyDescent="0.2">
      <c r="A81" s="8"/>
      <c r="B81" s="14"/>
      <c r="C81" s="14"/>
      <c r="D81" s="8"/>
      <c r="E81" s="8"/>
      <c r="F81" s="20"/>
      <c r="G81" s="20"/>
      <c r="H81" s="9"/>
      <c r="I81" s="9"/>
      <c r="J81" s="9"/>
      <c r="K81" s="9"/>
      <c r="L81" s="9"/>
      <c r="M81" s="9"/>
      <c r="N81" s="9"/>
      <c r="O81" s="9"/>
      <c r="P81" s="9"/>
      <c r="Q81" s="9"/>
      <c r="R81" s="5"/>
      <c r="S81" s="10"/>
      <c r="T81" s="11"/>
      <c r="U81" s="13"/>
      <c r="V81" s="5"/>
      <c r="W81" s="5"/>
      <c r="X81" s="10"/>
      <c r="Y81" s="5"/>
      <c r="Z81" s="10"/>
      <c r="AA81" s="9"/>
      <c r="AB81" s="5"/>
      <c r="AC81" s="11"/>
    </row>
    <row r="82" spans="1:29" x14ac:dyDescent="0.2">
      <c r="A82" s="8"/>
      <c r="B82" s="14"/>
      <c r="C82" s="14"/>
      <c r="D82" s="8"/>
      <c r="E82" s="8"/>
      <c r="F82" s="20"/>
      <c r="G82" s="20"/>
      <c r="H82" s="9"/>
      <c r="I82" s="9"/>
      <c r="J82" s="9"/>
      <c r="K82" s="9"/>
      <c r="L82" s="9"/>
      <c r="M82" s="9"/>
      <c r="N82" s="9"/>
      <c r="O82" s="9"/>
      <c r="P82" s="9"/>
      <c r="Q82" s="9"/>
      <c r="R82" s="5"/>
      <c r="S82" s="10"/>
      <c r="T82" s="11"/>
      <c r="U82" s="13"/>
      <c r="V82" s="5"/>
      <c r="W82" s="5"/>
      <c r="X82" s="10"/>
      <c r="Y82" s="5"/>
      <c r="Z82" s="10"/>
      <c r="AA82" s="9"/>
      <c r="AB82" s="5"/>
      <c r="AC82" s="11"/>
    </row>
    <row r="83" spans="1:29" x14ac:dyDescent="0.2">
      <c r="A83" s="8"/>
      <c r="B83" s="14"/>
      <c r="C83" s="14"/>
      <c r="D83" s="8"/>
      <c r="E83" s="8"/>
      <c r="F83" s="20"/>
      <c r="G83" s="20"/>
      <c r="H83" s="9"/>
      <c r="I83" s="9"/>
      <c r="J83" s="9"/>
      <c r="K83" s="9"/>
      <c r="L83" s="9"/>
      <c r="M83" s="9"/>
      <c r="N83" s="9"/>
      <c r="O83" s="9"/>
      <c r="P83" s="9"/>
      <c r="Q83" s="9"/>
      <c r="R83" s="5"/>
      <c r="S83" s="10"/>
      <c r="T83" s="11"/>
      <c r="U83" s="13"/>
      <c r="V83" s="5"/>
      <c r="W83" s="5"/>
      <c r="X83" s="10"/>
      <c r="Y83" s="5"/>
      <c r="Z83" s="10"/>
      <c r="AA83" s="9"/>
      <c r="AB83" s="5"/>
      <c r="AC83" s="11"/>
    </row>
    <row r="84" spans="1:29" x14ac:dyDescent="0.2">
      <c r="A84" s="8"/>
      <c r="B84" s="14"/>
      <c r="C84" s="14"/>
      <c r="D84" s="8"/>
      <c r="E84" s="8"/>
      <c r="F84" s="20"/>
      <c r="G84" s="20"/>
      <c r="H84" s="9"/>
      <c r="I84" s="9"/>
      <c r="J84" s="9"/>
      <c r="K84" s="9"/>
      <c r="L84" s="9"/>
      <c r="M84" s="9"/>
      <c r="N84" s="9"/>
      <c r="O84" s="9"/>
      <c r="P84" s="9"/>
      <c r="Q84" s="9"/>
      <c r="R84" s="5"/>
      <c r="S84" s="10"/>
      <c r="T84" s="11"/>
      <c r="U84" s="13"/>
      <c r="V84" s="5"/>
      <c r="W84" s="5"/>
      <c r="X84" s="10"/>
      <c r="Y84" s="5"/>
      <c r="Z84" s="10"/>
      <c r="AA84" s="9"/>
      <c r="AB84" s="5"/>
      <c r="AC84" s="11"/>
    </row>
    <row r="85" spans="1:29" x14ac:dyDescent="0.2">
      <c r="A85" s="8"/>
      <c r="B85" s="14"/>
      <c r="C85" s="14"/>
      <c r="D85" s="8"/>
      <c r="E85" s="8"/>
      <c r="F85" s="20"/>
      <c r="G85" s="20"/>
      <c r="H85" s="9"/>
      <c r="I85" s="9"/>
      <c r="J85" s="9"/>
      <c r="K85" s="9"/>
      <c r="L85" s="9"/>
      <c r="M85" s="9"/>
      <c r="N85" s="9"/>
      <c r="O85" s="9"/>
      <c r="P85" s="9"/>
      <c r="Q85" s="9"/>
      <c r="R85" s="5"/>
      <c r="S85" s="10"/>
      <c r="T85" s="11"/>
      <c r="U85" s="13"/>
      <c r="V85" s="5"/>
      <c r="W85" s="5"/>
      <c r="X85" s="10"/>
      <c r="Y85" s="5"/>
      <c r="Z85" s="10"/>
      <c r="AA85" s="9"/>
      <c r="AB85" s="5"/>
      <c r="AC85" s="11"/>
    </row>
    <row r="86" spans="1:29" x14ac:dyDescent="0.2">
      <c r="A86" s="8"/>
      <c r="B86" s="14"/>
      <c r="C86" s="14"/>
      <c r="D86" s="8"/>
      <c r="E86" s="8"/>
      <c r="F86" s="20"/>
      <c r="G86" s="20"/>
      <c r="H86" s="9"/>
      <c r="I86" s="9"/>
      <c r="J86" s="9"/>
      <c r="K86" s="9"/>
      <c r="L86" s="9"/>
      <c r="M86" s="9"/>
      <c r="N86" s="9"/>
      <c r="O86" s="9"/>
      <c r="P86" s="9"/>
      <c r="Q86" s="9"/>
      <c r="R86" s="5"/>
      <c r="S86" s="10"/>
      <c r="T86" s="11"/>
      <c r="U86" s="13"/>
      <c r="V86" s="5"/>
      <c r="W86" s="5"/>
      <c r="X86" s="10"/>
      <c r="Y86" s="5"/>
      <c r="Z86" s="10"/>
      <c r="AA86" s="9"/>
      <c r="AB86" s="5"/>
      <c r="AC86" s="11"/>
    </row>
    <row r="87" spans="1:29" x14ac:dyDescent="0.2">
      <c r="A87" s="8"/>
      <c r="B87" s="14"/>
      <c r="C87" s="14"/>
      <c r="D87" s="8"/>
      <c r="E87" s="8"/>
      <c r="F87" s="20"/>
      <c r="G87" s="20"/>
      <c r="H87" s="9"/>
      <c r="I87" s="9"/>
      <c r="J87" s="9"/>
      <c r="K87" s="9"/>
      <c r="L87" s="9"/>
      <c r="M87" s="9"/>
      <c r="N87" s="9"/>
      <c r="O87" s="9"/>
      <c r="P87" s="9"/>
      <c r="Q87" s="9"/>
      <c r="R87" s="5"/>
      <c r="S87" s="10"/>
      <c r="T87" s="11"/>
      <c r="U87" s="13"/>
      <c r="V87" s="5"/>
      <c r="W87" s="5"/>
      <c r="X87" s="10"/>
      <c r="Y87" s="5"/>
      <c r="Z87" s="10"/>
      <c r="AA87" s="9"/>
      <c r="AB87" s="5"/>
      <c r="AC87" s="11"/>
    </row>
    <row r="88" spans="1:29" x14ac:dyDescent="0.2">
      <c r="A88" s="8"/>
      <c r="B88" s="14"/>
      <c r="C88" s="14"/>
      <c r="D88" s="8"/>
      <c r="E88" s="8"/>
      <c r="F88" s="20"/>
      <c r="G88" s="20"/>
      <c r="H88" s="9"/>
      <c r="I88" s="9"/>
      <c r="J88" s="9"/>
      <c r="K88" s="9"/>
      <c r="L88" s="9"/>
      <c r="M88" s="9"/>
      <c r="N88" s="9"/>
      <c r="O88" s="9"/>
      <c r="P88" s="9"/>
      <c r="Q88" s="9"/>
      <c r="R88" s="5"/>
      <c r="S88" s="10"/>
      <c r="T88" s="11"/>
      <c r="U88" s="13"/>
      <c r="V88" s="5"/>
      <c r="W88" s="5"/>
      <c r="X88" s="10"/>
      <c r="Y88" s="5"/>
      <c r="Z88" s="10"/>
      <c r="AA88" s="9"/>
      <c r="AB88" s="5"/>
      <c r="AC88" s="11"/>
    </row>
    <row r="89" spans="1:29" x14ac:dyDescent="0.2">
      <c r="A89" s="8"/>
      <c r="B89" s="14"/>
      <c r="C89" s="14"/>
      <c r="D89" s="8"/>
      <c r="E89" s="8"/>
      <c r="F89" s="20"/>
      <c r="G89" s="20"/>
      <c r="H89" s="9"/>
      <c r="I89" s="9"/>
      <c r="J89" s="9"/>
      <c r="K89" s="9"/>
      <c r="L89" s="9"/>
      <c r="M89" s="9"/>
      <c r="N89" s="9"/>
      <c r="O89" s="9"/>
      <c r="P89" s="9"/>
      <c r="Q89" s="9"/>
      <c r="R89" s="5"/>
      <c r="S89" s="10"/>
      <c r="T89" s="11"/>
      <c r="U89" s="13"/>
      <c r="V89" s="5"/>
      <c r="W89" s="5"/>
      <c r="X89" s="10"/>
      <c r="Y89" s="5"/>
      <c r="Z89" s="10"/>
      <c r="AA89" s="9"/>
      <c r="AB89" s="5"/>
      <c r="AC89" s="11"/>
    </row>
    <row r="90" spans="1:29" x14ac:dyDescent="0.2">
      <c r="A90" s="8"/>
      <c r="B90" s="14"/>
      <c r="C90" s="14"/>
      <c r="D90" s="8"/>
      <c r="E90" s="8"/>
      <c r="F90" s="20"/>
      <c r="G90" s="20"/>
      <c r="H90" s="9"/>
      <c r="I90" s="9"/>
      <c r="J90" s="9"/>
      <c r="K90" s="9"/>
      <c r="L90" s="9"/>
      <c r="M90" s="9"/>
      <c r="N90" s="9"/>
      <c r="O90" s="9"/>
      <c r="P90" s="9"/>
      <c r="Q90" s="9"/>
      <c r="R90" s="5"/>
      <c r="S90" s="10"/>
      <c r="T90" s="11"/>
      <c r="U90" s="13"/>
      <c r="V90" s="5"/>
      <c r="W90" s="5"/>
      <c r="X90" s="10"/>
      <c r="Y90" s="5"/>
      <c r="Z90" s="10"/>
      <c r="AA90" s="9"/>
      <c r="AB90" s="5"/>
      <c r="AC90" s="11"/>
    </row>
    <row r="91" spans="1:29" x14ac:dyDescent="0.2">
      <c r="A91" s="8"/>
      <c r="B91" s="14"/>
      <c r="C91" s="14"/>
      <c r="D91" s="8"/>
      <c r="E91" s="8"/>
      <c r="F91" s="20"/>
      <c r="G91" s="20"/>
      <c r="H91" s="9"/>
      <c r="I91" s="9"/>
      <c r="J91" s="9"/>
      <c r="K91" s="9"/>
      <c r="L91" s="9"/>
      <c r="M91" s="9"/>
      <c r="N91" s="9"/>
      <c r="O91" s="9"/>
      <c r="P91" s="9"/>
      <c r="Q91" s="9"/>
      <c r="R91" s="5"/>
      <c r="S91" s="10"/>
      <c r="T91" s="11"/>
      <c r="U91" s="13"/>
      <c r="V91" s="5"/>
      <c r="W91" s="5"/>
      <c r="X91" s="10"/>
      <c r="Y91" s="5"/>
      <c r="Z91" s="10"/>
      <c r="AA91" s="9"/>
      <c r="AB91" s="5"/>
      <c r="AC91" s="11"/>
    </row>
    <row r="92" spans="1:29" x14ac:dyDescent="0.2">
      <c r="A92" s="8"/>
      <c r="B92" s="14"/>
      <c r="C92" s="14"/>
      <c r="D92" s="8"/>
      <c r="E92" s="8"/>
      <c r="F92" s="20"/>
      <c r="G92" s="20"/>
      <c r="H92" s="9"/>
      <c r="I92" s="9"/>
      <c r="J92" s="9"/>
      <c r="K92" s="9"/>
      <c r="L92" s="9"/>
      <c r="M92" s="9"/>
      <c r="N92" s="9"/>
      <c r="O92" s="9"/>
      <c r="P92" s="9"/>
      <c r="Q92" s="9"/>
      <c r="R92" s="5"/>
      <c r="S92" s="10"/>
      <c r="T92" s="11"/>
      <c r="U92" s="13"/>
      <c r="V92" s="5"/>
      <c r="W92" s="5"/>
      <c r="X92" s="10"/>
      <c r="Y92" s="5"/>
      <c r="Z92" s="10"/>
      <c r="AA92" s="9"/>
      <c r="AB92" s="5"/>
      <c r="AC92" s="11"/>
    </row>
    <row r="93" spans="1:29" x14ac:dyDescent="0.2">
      <c r="A93" s="8"/>
      <c r="B93" s="14"/>
      <c r="C93" s="14"/>
      <c r="D93" s="8"/>
      <c r="E93" s="8"/>
      <c r="F93" s="20"/>
      <c r="G93" s="20"/>
      <c r="H93" s="9"/>
      <c r="I93" s="9"/>
      <c r="J93" s="9"/>
      <c r="K93" s="9"/>
      <c r="L93" s="9"/>
      <c r="M93" s="9"/>
      <c r="N93" s="9"/>
      <c r="O93" s="9"/>
      <c r="P93" s="9"/>
      <c r="Q93" s="9"/>
      <c r="R93" s="5"/>
      <c r="S93" s="10"/>
      <c r="T93" s="11"/>
      <c r="U93" s="13"/>
      <c r="V93" s="5"/>
      <c r="W93" s="5"/>
      <c r="X93" s="10"/>
      <c r="Y93" s="5"/>
      <c r="Z93" s="10"/>
      <c r="AA93" s="9"/>
      <c r="AB93" s="5"/>
      <c r="AC93" s="11"/>
    </row>
    <row r="94" spans="1:29" x14ac:dyDescent="0.2">
      <c r="A94" s="8"/>
      <c r="B94" s="14"/>
      <c r="C94" s="14"/>
      <c r="D94" s="8"/>
      <c r="E94" s="8"/>
      <c r="F94" s="20"/>
      <c r="G94" s="20"/>
      <c r="H94" s="9"/>
      <c r="I94" s="9"/>
      <c r="J94" s="9"/>
      <c r="K94" s="9"/>
      <c r="L94" s="9"/>
      <c r="M94" s="9"/>
      <c r="N94" s="9"/>
      <c r="O94" s="9"/>
      <c r="P94" s="9"/>
      <c r="Q94" s="9"/>
      <c r="R94" s="5"/>
      <c r="S94" s="10"/>
      <c r="T94" s="11"/>
      <c r="U94" s="13"/>
      <c r="V94" s="5"/>
      <c r="W94" s="5"/>
      <c r="X94" s="10"/>
      <c r="Y94" s="5"/>
      <c r="Z94" s="10"/>
      <c r="AA94" s="9"/>
      <c r="AB94" s="5"/>
      <c r="AC94" s="11"/>
    </row>
    <row r="95" spans="1:29" x14ac:dyDescent="0.2">
      <c r="A95" s="8"/>
      <c r="B95" s="14"/>
      <c r="C95" s="14"/>
      <c r="D95" s="8"/>
      <c r="E95" s="8"/>
      <c r="F95" s="20"/>
      <c r="G95" s="20"/>
      <c r="H95" s="9"/>
      <c r="I95" s="9"/>
      <c r="J95" s="9"/>
      <c r="K95" s="9"/>
      <c r="L95" s="9"/>
      <c r="M95" s="9"/>
      <c r="N95" s="9"/>
      <c r="O95" s="9"/>
      <c r="P95" s="9"/>
      <c r="Q95" s="9"/>
      <c r="R95" s="5"/>
      <c r="S95" s="10"/>
      <c r="T95" s="11"/>
      <c r="U95" s="13"/>
      <c r="V95" s="5"/>
      <c r="W95" s="5"/>
      <c r="X95" s="10"/>
    </row>
    <row r="96" spans="1:29" x14ac:dyDescent="0.2">
      <c r="A96" s="8"/>
      <c r="B96" s="14"/>
      <c r="C96" s="14"/>
      <c r="D96" s="18"/>
      <c r="E96" s="18"/>
      <c r="F96" s="20"/>
      <c r="G96" s="20"/>
      <c r="H96" s="9"/>
      <c r="I96" s="9"/>
      <c r="J96" s="9"/>
      <c r="K96" s="9"/>
      <c r="L96" s="9"/>
      <c r="M96" s="9"/>
      <c r="N96" s="9"/>
      <c r="O96" s="9"/>
      <c r="P96" s="9"/>
      <c r="Q96" s="9"/>
      <c r="R96" s="5"/>
      <c r="S96" s="10"/>
      <c r="T96" s="11"/>
      <c r="U96" s="13"/>
      <c r="V96" s="5"/>
      <c r="W96" s="5"/>
      <c r="X96" s="10"/>
    </row>
    <row r="97" spans="1:24" x14ac:dyDescent="0.2">
      <c r="A97" s="8"/>
      <c r="B97" s="14"/>
      <c r="C97" s="14"/>
      <c r="D97" s="18"/>
      <c r="E97" s="18"/>
      <c r="F97" s="20"/>
      <c r="G97" s="20"/>
      <c r="H97" s="9"/>
      <c r="I97" s="9"/>
      <c r="J97" s="9"/>
      <c r="K97" s="9"/>
      <c r="L97" s="9"/>
      <c r="M97" s="9"/>
      <c r="N97" s="9"/>
      <c r="O97" s="9"/>
      <c r="P97" s="9"/>
      <c r="Q97" s="9"/>
      <c r="R97" s="5"/>
      <c r="S97" s="10"/>
      <c r="T97" s="11"/>
      <c r="U97" s="13"/>
      <c r="V97" s="5"/>
      <c r="W97" s="5"/>
      <c r="X97" s="10"/>
    </row>
    <row r="98" spans="1:24" x14ac:dyDescent="0.2">
      <c r="A98" s="8"/>
      <c r="B98" s="14"/>
      <c r="C98" s="14"/>
      <c r="D98" s="8"/>
      <c r="E98" s="8"/>
      <c r="F98" s="20"/>
      <c r="G98" s="20"/>
      <c r="H98" s="9"/>
      <c r="I98" s="9"/>
      <c r="J98" s="9"/>
      <c r="K98" s="9"/>
      <c r="L98" s="9"/>
      <c r="M98" s="9"/>
      <c r="N98" s="9"/>
      <c r="O98" s="9"/>
      <c r="P98" s="9"/>
      <c r="Q98" s="9"/>
      <c r="R98" s="5"/>
      <c r="S98" s="10"/>
      <c r="T98" s="11"/>
      <c r="U98" s="13"/>
      <c r="V98" s="5"/>
      <c r="W98" s="5"/>
      <c r="X98" s="10"/>
    </row>
    <row r="99" spans="1:24" x14ac:dyDescent="0.2">
      <c r="A99" s="8"/>
      <c r="B99" s="14"/>
      <c r="C99" s="14"/>
      <c r="D99" s="8"/>
      <c r="E99" s="8"/>
      <c r="F99" s="20"/>
      <c r="G99" s="20"/>
      <c r="H99" s="9"/>
      <c r="I99" s="9"/>
      <c r="J99" s="9"/>
      <c r="K99" s="9"/>
      <c r="L99" s="9"/>
      <c r="M99" s="9"/>
      <c r="N99" s="9"/>
      <c r="O99" s="9"/>
      <c r="P99" s="9"/>
      <c r="Q99" s="9"/>
      <c r="R99" s="5"/>
      <c r="S99" s="10"/>
      <c r="T99" s="11"/>
      <c r="U99" s="13"/>
      <c r="V99" s="5"/>
      <c r="W99" s="5"/>
      <c r="X99" s="10"/>
    </row>
    <row r="100" spans="1:24" x14ac:dyDescent="0.2">
      <c r="A100" s="8"/>
      <c r="B100" s="14"/>
      <c r="C100" s="14"/>
      <c r="D100" s="8"/>
      <c r="E100" s="8"/>
      <c r="F100" s="20"/>
      <c r="G100" s="20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5"/>
      <c r="S100" s="10"/>
      <c r="T100" s="11"/>
      <c r="U100" s="13"/>
      <c r="V100" s="5"/>
      <c r="W100" s="5"/>
      <c r="X100" s="10"/>
    </row>
    <row r="101" spans="1:24" x14ac:dyDescent="0.2">
      <c r="A101" s="8"/>
      <c r="B101" s="14"/>
      <c r="C101" s="14"/>
      <c r="D101" s="9"/>
      <c r="E101" s="9"/>
      <c r="F101" s="9"/>
      <c r="G101" s="5"/>
      <c r="H101" s="9"/>
      <c r="I101" s="9"/>
      <c r="J101" s="9"/>
      <c r="K101" s="9"/>
      <c r="L101" s="9"/>
      <c r="M101" s="9"/>
      <c r="N101" s="9"/>
      <c r="O101" s="9"/>
      <c r="P101" s="9"/>
      <c r="Q101" s="5"/>
      <c r="R101" s="10"/>
      <c r="S101" s="11"/>
      <c r="T101" s="13"/>
      <c r="U101" s="5"/>
      <c r="V101" s="5"/>
      <c r="W101" s="5"/>
      <c r="X101" s="10"/>
    </row>
    <row r="102" spans="1:24" x14ac:dyDescent="0.2">
      <c r="A102" s="8"/>
      <c r="B102" s="14"/>
      <c r="C102" s="14"/>
      <c r="D102" s="9"/>
      <c r="E102" s="9"/>
      <c r="F102" s="9"/>
      <c r="G102" s="5"/>
      <c r="H102" s="9"/>
      <c r="I102" s="9"/>
      <c r="J102" s="9"/>
      <c r="K102" s="9"/>
      <c r="L102" s="9"/>
      <c r="M102" s="9"/>
      <c r="N102" s="9"/>
      <c r="O102" s="9"/>
      <c r="P102" s="9"/>
      <c r="Q102" s="5"/>
      <c r="R102" s="10"/>
      <c r="S102" s="11"/>
      <c r="T102" s="13"/>
      <c r="U102" s="5"/>
      <c r="V102" s="5"/>
      <c r="W102" s="5"/>
      <c r="X102" s="10"/>
    </row>
    <row r="103" spans="1:24" x14ac:dyDescent="0.2">
      <c r="A103" s="8"/>
      <c r="B103" s="14"/>
      <c r="C103" s="14"/>
      <c r="D103" s="9"/>
      <c r="E103" s="9"/>
      <c r="F103" s="9"/>
      <c r="G103" s="5"/>
      <c r="H103" s="9"/>
      <c r="I103" s="9"/>
      <c r="J103" s="9"/>
      <c r="K103" s="9"/>
      <c r="L103" s="9"/>
      <c r="M103" s="9"/>
      <c r="N103" s="9"/>
      <c r="O103" s="9"/>
      <c r="P103" s="9"/>
      <c r="Q103" s="5"/>
      <c r="R103" s="10"/>
      <c r="S103" s="11"/>
      <c r="T103" s="13"/>
      <c r="U103" s="5"/>
      <c r="V103" s="5"/>
      <c r="W103" s="5"/>
      <c r="X103" s="10"/>
    </row>
    <row r="104" spans="1:24" x14ac:dyDescent="0.2">
      <c r="A104" s="8"/>
      <c r="B104" s="14"/>
      <c r="C104" s="14"/>
      <c r="D104" s="9"/>
      <c r="E104" s="9"/>
      <c r="F104" s="9"/>
      <c r="G104" s="5"/>
      <c r="H104" s="9"/>
      <c r="I104" s="9"/>
      <c r="J104" s="9"/>
      <c r="K104" s="9"/>
      <c r="L104" s="9"/>
      <c r="M104" s="9"/>
      <c r="N104" s="9"/>
      <c r="O104" s="9"/>
      <c r="P104" s="9"/>
      <c r="Q104" s="5"/>
      <c r="R104" s="10"/>
      <c r="S104" s="11"/>
      <c r="T104" s="13"/>
      <c r="U104" s="5"/>
      <c r="V104" s="5"/>
      <c r="W104" s="5"/>
      <c r="X104" s="10"/>
    </row>
    <row r="105" spans="1:24" x14ac:dyDescent="0.2">
      <c r="A105" s="8"/>
      <c r="B105" s="14"/>
      <c r="C105" s="14"/>
      <c r="D105" s="9"/>
      <c r="E105" s="9"/>
      <c r="F105" s="9"/>
      <c r="G105" s="5"/>
      <c r="H105" s="9"/>
      <c r="I105" s="9"/>
      <c r="J105" s="9"/>
      <c r="K105" s="9"/>
      <c r="L105" s="9"/>
      <c r="M105" s="9"/>
      <c r="N105" s="9"/>
      <c r="O105" s="9"/>
      <c r="P105" s="9"/>
      <c r="Q105" s="5"/>
      <c r="R105" s="10"/>
      <c r="S105" s="11"/>
      <c r="T105" s="13"/>
      <c r="U105" s="5"/>
      <c r="V105" s="5"/>
      <c r="W105" s="5"/>
      <c r="X105" s="10"/>
    </row>
    <row r="106" spans="1:24" x14ac:dyDescent="0.2">
      <c r="A106" s="8"/>
      <c r="B106" s="14"/>
      <c r="C106" s="14"/>
      <c r="D106" s="9"/>
      <c r="E106" s="9"/>
      <c r="F106" s="9"/>
      <c r="G106" s="5"/>
      <c r="H106" s="9"/>
      <c r="I106" s="9"/>
      <c r="J106" s="9"/>
      <c r="K106" s="9"/>
      <c r="L106" s="9"/>
      <c r="M106" s="9"/>
      <c r="N106" s="9"/>
      <c r="O106" s="9"/>
      <c r="P106" s="9"/>
      <c r="Q106" s="5"/>
      <c r="R106" s="10"/>
      <c r="S106" s="11"/>
      <c r="T106" s="13"/>
      <c r="U106" s="5"/>
      <c r="V106" s="5"/>
      <c r="W106" s="5"/>
      <c r="X106" s="10"/>
    </row>
    <row r="107" spans="1:24" x14ac:dyDescent="0.2">
      <c r="A107" s="8"/>
      <c r="B107" s="14"/>
      <c r="C107" s="14"/>
      <c r="D107" s="9"/>
      <c r="E107" s="9"/>
      <c r="F107" s="9"/>
      <c r="G107" s="5"/>
      <c r="H107" s="9"/>
      <c r="I107" s="9"/>
      <c r="J107" s="9"/>
      <c r="K107" s="9"/>
      <c r="L107" s="9"/>
      <c r="M107" s="9"/>
      <c r="N107" s="9"/>
      <c r="O107" s="9"/>
      <c r="P107" s="9"/>
      <c r="Q107" s="5"/>
      <c r="R107" s="10"/>
      <c r="S107" s="11"/>
      <c r="T107" s="10"/>
      <c r="U107" s="5"/>
      <c r="V107" s="5"/>
      <c r="W107" s="5"/>
      <c r="X107" s="10"/>
    </row>
    <row r="108" spans="1:24" x14ac:dyDescent="0.2">
      <c r="A108" s="8"/>
      <c r="B108" s="14"/>
      <c r="C108" s="14"/>
      <c r="D108" s="9"/>
      <c r="E108" s="9"/>
      <c r="F108" s="9"/>
      <c r="G108" s="5"/>
      <c r="H108" s="9"/>
      <c r="I108" s="9"/>
      <c r="J108" s="9"/>
      <c r="K108" s="9"/>
      <c r="L108" s="9"/>
      <c r="M108" s="14"/>
      <c r="N108" s="9"/>
      <c r="O108" s="9"/>
      <c r="P108" s="9"/>
      <c r="Q108" s="5"/>
      <c r="R108" s="10"/>
      <c r="S108" s="10"/>
      <c r="T108" s="10"/>
      <c r="U108" s="11"/>
      <c r="V108" s="13"/>
      <c r="W108" s="13"/>
      <c r="X108" s="10"/>
    </row>
    <row r="109" spans="1:24" x14ac:dyDescent="0.2">
      <c r="A109" s="8"/>
      <c r="B109" s="14"/>
      <c r="C109" s="14"/>
      <c r="D109" s="9"/>
      <c r="E109" s="9"/>
      <c r="F109" s="9"/>
      <c r="G109" s="5"/>
      <c r="H109" s="9"/>
      <c r="I109" s="9"/>
      <c r="J109" s="9"/>
      <c r="K109" s="9"/>
      <c r="L109" s="9"/>
      <c r="M109" s="14"/>
      <c r="N109" s="9"/>
      <c r="O109" s="9"/>
      <c r="P109" s="9"/>
      <c r="Q109" s="5"/>
      <c r="R109" s="10"/>
      <c r="S109" s="10"/>
      <c r="T109" s="10"/>
      <c r="U109" s="11"/>
      <c r="V109" s="13"/>
      <c r="W109" s="13"/>
      <c r="X109" s="10"/>
    </row>
    <row r="110" spans="1:24" x14ac:dyDescent="0.2">
      <c r="A110" s="8"/>
      <c r="B110" s="14"/>
      <c r="C110" s="14"/>
      <c r="D110" s="9"/>
      <c r="E110" s="9"/>
      <c r="F110" s="9"/>
      <c r="G110" s="5"/>
      <c r="H110" s="9"/>
      <c r="I110" s="9"/>
      <c r="J110" s="9"/>
      <c r="K110" s="9"/>
      <c r="L110" s="9"/>
      <c r="M110" s="14"/>
      <c r="N110" s="9"/>
      <c r="O110" s="9"/>
      <c r="P110" s="9"/>
      <c r="Q110" s="5"/>
      <c r="R110" s="10"/>
      <c r="S110" s="10"/>
      <c r="T110" s="10"/>
      <c r="U110" s="11"/>
      <c r="V110" s="13"/>
      <c r="W110" s="13"/>
      <c r="X110" s="10"/>
    </row>
    <row r="111" spans="1:24" x14ac:dyDescent="0.2">
      <c r="A111" s="8"/>
      <c r="B111" s="14"/>
      <c r="C111" s="14"/>
      <c r="D111" s="9"/>
      <c r="E111" s="9"/>
      <c r="F111" s="9"/>
      <c r="G111" s="5"/>
      <c r="H111" s="9"/>
      <c r="I111" s="9"/>
      <c r="J111" s="9"/>
      <c r="K111" s="9"/>
      <c r="L111" s="9"/>
      <c r="M111" s="14"/>
      <c r="N111" s="9"/>
      <c r="O111" s="9"/>
      <c r="P111" s="9"/>
      <c r="Q111" s="5"/>
      <c r="R111" s="10"/>
      <c r="S111" s="10"/>
      <c r="T111" s="10"/>
      <c r="U111" s="11"/>
      <c r="V111" s="13"/>
      <c r="W111" s="13"/>
      <c r="X111" s="10"/>
    </row>
    <row r="112" spans="1:24" x14ac:dyDescent="0.2">
      <c r="A112" s="8"/>
      <c r="B112" s="14"/>
      <c r="C112" s="14"/>
      <c r="D112" s="9"/>
      <c r="E112" s="9"/>
      <c r="F112" s="9"/>
      <c r="G112" s="5"/>
      <c r="H112" s="9"/>
      <c r="I112" s="9"/>
      <c r="J112" s="9"/>
      <c r="K112" s="9"/>
      <c r="L112" s="9"/>
      <c r="M112" s="14"/>
      <c r="N112" s="9"/>
      <c r="O112" s="9"/>
      <c r="P112" s="9"/>
      <c r="Q112" s="5"/>
      <c r="R112" s="10"/>
      <c r="S112" s="10"/>
      <c r="T112" s="10"/>
      <c r="U112" s="11"/>
      <c r="V112" s="13"/>
      <c r="W112" s="13"/>
      <c r="X112" s="10"/>
    </row>
    <row r="113" spans="1:24" x14ac:dyDescent="0.2">
      <c r="A113" s="8"/>
      <c r="B113" s="14"/>
      <c r="C113" s="14"/>
      <c r="D113" s="9"/>
      <c r="E113" s="9"/>
      <c r="F113" s="9"/>
      <c r="G113" s="5"/>
      <c r="H113" s="9"/>
      <c r="I113" s="9"/>
      <c r="J113" s="9"/>
      <c r="K113" s="9"/>
      <c r="L113" s="9"/>
      <c r="M113" s="14"/>
      <c r="N113" s="9"/>
      <c r="O113" s="9"/>
      <c r="P113" s="9"/>
      <c r="Q113" s="5"/>
      <c r="R113" s="10"/>
      <c r="S113" s="10"/>
      <c r="T113" s="10"/>
      <c r="U113" s="11"/>
      <c r="V113" s="13"/>
      <c r="W113" s="13"/>
      <c r="X113" s="10"/>
    </row>
    <row r="114" spans="1:24" x14ac:dyDescent="0.2">
      <c r="A114" s="8"/>
      <c r="B114" s="14"/>
      <c r="C114" s="14"/>
      <c r="D114" s="9"/>
      <c r="E114" s="9"/>
      <c r="F114" s="9"/>
      <c r="G114" s="5"/>
      <c r="H114" s="9"/>
      <c r="I114" s="9"/>
      <c r="J114" s="9"/>
      <c r="K114" s="9"/>
      <c r="L114" s="9"/>
      <c r="M114" s="14"/>
      <c r="N114" s="9"/>
      <c r="O114" s="9"/>
      <c r="P114" s="9"/>
      <c r="Q114" s="5"/>
      <c r="R114" s="10"/>
      <c r="S114" s="10"/>
      <c r="T114" s="10"/>
      <c r="U114" s="11"/>
      <c r="V114" s="13"/>
      <c r="W114" s="13"/>
      <c r="X114" s="10"/>
    </row>
    <row r="115" spans="1:24" x14ac:dyDescent="0.2">
      <c r="A115" s="8"/>
      <c r="B115" s="14"/>
      <c r="C115" s="14"/>
      <c r="D115" s="9"/>
      <c r="E115" s="9"/>
      <c r="F115" s="9"/>
      <c r="G115" s="5"/>
      <c r="H115" s="9"/>
      <c r="I115" s="9"/>
      <c r="J115" s="9"/>
      <c r="K115" s="9"/>
      <c r="L115" s="9"/>
      <c r="M115" s="14"/>
      <c r="N115" s="9"/>
      <c r="O115" s="9"/>
      <c r="P115" s="9"/>
      <c r="Q115" s="5"/>
      <c r="R115" s="10"/>
      <c r="S115" s="10"/>
      <c r="T115" s="10"/>
      <c r="U115" s="11"/>
      <c r="V115" s="13"/>
      <c r="W115" s="13"/>
      <c r="X115" s="10"/>
    </row>
    <row r="116" spans="1:24" x14ac:dyDescent="0.2">
      <c r="A116" s="8"/>
      <c r="B116" s="14"/>
      <c r="C116" s="14"/>
      <c r="D116" s="9"/>
      <c r="E116" s="9"/>
      <c r="F116" s="9"/>
      <c r="G116" s="5"/>
      <c r="H116" s="9"/>
      <c r="I116" s="9"/>
      <c r="J116" s="9"/>
      <c r="K116" s="9"/>
      <c r="L116" s="9"/>
      <c r="M116" s="14"/>
      <c r="N116" s="9"/>
      <c r="O116" s="9"/>
      <c r="P116" s="9"/>
      <c r="Q116" s="5"/>
      <c r="R116" s="10"/>
      <c r="S116" s="10"/>
      <c r="T116" s="10"/>
      <c r="U116" s="11"/>
      <c r="V116" s="13"/>
      <c r="W116" s="13"/>
      <c r="X116" s="10"/>
    </row>
    <row r="117" spans="1:24" x14ac:dyDescent="0.2">
      <c r="A117" s="8"/>
      <c r="B117" s="14"/>
      <c r="C117" s="14"/>
      <c r="D117" s="9"/>
      <c r="E117" s="9"/>
      <c r="F117" s="9"/>
      <c r="G117" s="5"/>
      <c r="H117" s="9"/>
      <c r="I117" s="9"/>
      <c r="J117" s="9"/>
      <c r="K117" s="9"/>
      <c r="L117" s="9"/>
      <c r="M117" s="14"/>
      <c r="N117" s="9"/>
      <c r="O117" s="9"/>
      <c r="P117" s="9"/>
      <c r="Q117" s="5"/>
      <c r="R117" s="10"/>
      <c r="S117" s="10"/>
      <c r="T117" s="10"/>
      <c r="U117" s="11"/>
      <c r="V117" s="13"/>
      <c r="W117" s="13"/>
      <c r="X117" s="10"/>
    </row>
    <row r="118" spans="1:24" x14ac:dyDescent="0.2">
      <c r="A118" s="8"/>
      <c r="B118" s="14"/>
      <c r="C118" s="14"/>
      <c r="D118" s="9"/>
      <c r="E118" s="9"/>
      <c r="F118" s="9"/>
      <c r="G118" s="5"/>
      <c r="H118" s="9"/>
      <c r="I118" s="9"/>
      <c r="J118" s="9"/>
      <c r="K118" s="9"/>
      <c r="L118" s="9"/>
      <c r="M118" s="14"/>
      <c r="N118" s="9"/>
      <c r="O118" s="9"/>
      <c r="P118" s="9"/>
      <c r="Q118" s="5"/>
      <c r="R118" s="10"/>
      <c r="S118" s="10"/>
      <c r="T118" s="10"/>
      <c r="U118" s="11"/>
      <c r="V118" s="13"/>
      <c r="W118" s="13"/>
      <c r="X118" s="10"/>
    </row>
    <row r="119" spans="1:24" x14ac:dyDescent="0.2">
      <c r="A119" s="8"/>
      <c r="B119" s="14"/>
      <c r="C119" s="14"/>
      <c r="D119" s="9"/>
      <c r="E119" s="9"/>
      <c r="F119" s="9"/>
      <c r="G119" s="5"/>
      <c r="H119" s="9"/>
      <c r="I119" s="9"/>
      <c r="J119" s="9"/>
      <c r="K119" s="9"/>
      <c r="L119" s="9"/>
      <c r="M119" s="14"/>
      <c r="N119" s="9"/>
      <c r="O119" s="9"/>
      <c r="P119" s="9"/>
      <c r="Q119" s="5"/>
      <c r="R119" s="10"/>
      <c r="S119" s="10"/>
      <c r="T119" s="10"/>
      <c r="U119" s="11"/>
      <c r="V119" s="13"/>
      <c r="W119" s="13"/>
      <c r="X119" s="10"/>
    </row>
    <row r="120" spans="1:24" x14ac:dyDescent="0.2">
      <c r="A120" s="8"/>
      <c r="B120" s="14"/>
      <c r="C120" s="14"/>
      <c r="D120" s="9"/>
      <c r="E120" s="9"/>
      <c r="F120" s="9"/>
      <c r="G120" s="5"/>
      <c r="H120" s="9"/>
      <c r="I120" s="9"/>
      <c r="J120" s="9"/>
      <c r="K120" s="9"/>
      <c r="L120" s="9"/>
      <c r="M120" s="14"/>
      <c r="N120" s="9"/>
      <c r="O120" s="9"/>
      <c r="P120" s="9"/>
      <c r="Q120" s="5"/>
      <c r="R120" s="10"/>
      <c r="S120" s="10"/>
      <c r="T120" s="10"/>
      <c r="U120" s="11"/>
      <c r="V120" s="13"/>
      <c r="W120" s="13"/>
      <c r="X120" s="10"/>
    </row>
    <row r="121" spans="1:24" x14ac:dyDescent="0.2">
      <c r="A121" s="8"/>
      <c r="B121" s="14"/>
      <c r="C121" s="14"/>
      <c r="D121" s="9"/>
      <c r="E121" s="9"/>
      <c r="F121" s="9"/>
      <c r="G121" s="5"/>
      <c r="H121" s="9"/>
      <c r="I121" s="9"/>
      <c r="J121" s="9"/>
      <c r="K121" s="9"/>
      <c r="L121" s="9"/>
      <c r="M121" s="14"/>
      <c r="N121" s="9"/>
      <c r="O121" s="9"/>
      <c r="P121" s="9"/>
      <c r="Q121" s="5"/>
      <c r="R121" s="10"/>
      <c r="S121" s="10"/>
      <c r="T121" s="10"/>
      <c r="U121" s="11"/>
      <c r="V121" s="13"/>
      <c r="W121" s="13"/>
      <c r="X121" s="10"/>
    </row>
    <row r="122" spans="1:24" x14ac:dyDescent="0.2">
      <c r="A122" s="8"/>
      <c r="B122" s="14"/>
      <c r="C122" s="14"/>
      <c r="D122" s="9"/>
      <c r="E122" s="9"/>
      <c r="F122" s="9"/>
      <c r="G122" s="5"/>
      <c r="H122" s="9"/>
      <c r="I122" s="9"/>
      <c r="J122" s="9"/>
      <c r="K122" s="9"/>
      <c r="L122" s="9"/>
      <c r="M122" s="14"/>
      <c r="N122" s="9"/>
      <c r="O122" s="9"/>
      <c r="P122" s="9"/>
      <c r="Q122" s="5"/>
      <c r="R122" s="10"/>
      <c r="S122" s="10"/>
      <c r="T122" s="10"/>
      <c r="U122" s="11"/>
      <c r="V122" s="13"/>
      <c r="W122" s="13"/>
      <c r="X122" s="10"/>
    </row>
    <row r="123" spans="1:24" x14ac:dyDescent="0.2">
      <c r="A123" s="8"/>
      <c r="B123" s="14"/>
      <c r="C123" s="14"/>
      <c r="D123" s="9"/>
      <c r="E123" s="9"/>
      <c r="F123" s="9"/>
      <c r="G123" s="5"/>
      <c r="H123" s="9"/>
      <c r="I123" s="9"/>
      <c r="J123" s="9"/>
      <c r="K123" s="9"/>
      <c r="L123" s="9"/>
      <c r="M123" s="14"/>
      <c r="N123" s="9"/>
      <c r="O123" s="9"/>
      <c r="P123" s="9"/>
      <c r="Q123" s="5"/>
      <c r="R123" s="10"/>
      <c r="S123" s="10"/>
      <c r="T123" s="10"/>
      <c r="U123" s="11"/>
      <c r="V123" s="13"/>
      <c r="W123" s="13"/>
      <c r="X123" s="10"/>
    </row>
    <row r="124" spans="1:24" x14ac:dyDescent="0.2">
      <c r="A124" s="8"/>
      <c r="B124" s="14"/>
      <c r="C124" s="14"/>
      <c r="D124" s="9"/>
      <c r="E124" s="9"/>
      <c r="F124" s="9"/>
      <c r="G124" s="5"/>
      <c r="H124" s="9"/>
      <c r="I124" s="9"/>
      <c r="J124" s="9"/>
      <c r="K124" s="9"/>
      <c r="L124" s="9"/>
      <c r="M124" s="14"/>
      <c r="N124" s="9"/>
      <c r="O124" s="9"/>
      <c r="P124" s="9"/>
      <c r="Q124" s="5"/>
      <c r="R124" s="10"/>
      <c r="S124" s="10"/>
      <c r="T124" s="10"/>
      <c r="U124" s="11"/>
      <c r="V124" s="13"/>
      <c r="W124" s="13"/>
      <c r="X124" s="10"/>
    </row>
    <row r="125" spans="1:24" x14ac:dyDescent="0.2">
      <c r="A125" s="8"/>
      <c r="B125" s="14"/>
      <c r="C125" s="14"/>
      <c r="D125" s="9"/>
      <c r="E125" s="9"/>
      <c r="F125" s="9"/>
      <c r="G125" s="5"/>
      <c r="H125" s="9"/>
      <c r="I125" s="9"/>
      <c r="J125" s="9"/>
      <c r="K125" s="9"/>
      <c r="L125" s="9"/>
      <c r="M125" s="14"/>
      <c r="N125" s="9"/>
      <c r="O125" s="9"/>
      <c r="P125" s="9"/>
      <c r="Q125" s="5"/>
      <c r="R125" s="10"/>
      <c r="S125" s="10"/>
      <c r="T125" s="10"/>
      <c r="U125" s="11"/>
      <c r="V125" s="13"/>
      <c r="W125" s="13"/>
      <c r="X125" s="10"/>
    </row>
    <row r="126" spans="1:24" x14ac:dyDescent="0.2">
      <c r="A126" s="8"/>
      <c r="B126" s="14"/>
      <c r="C126" s="14"/>
      <c r="D126" s="9"/>
      <c r="E126" s="9"/>
      <c r="F126" s="9"/>
      <c r="G126" s="5"/>
      <c r="H126" s="9"/>
      <c r="I126" s="9"/>
      <c r="J126" s="9"/>
      <c r="K126" s="9"/>
      <c r="L126" s="9"/>
      <c r="M126" s="14"/>
      <c r="N126" s="9"/>
      <c r="O126" s="9"/>
      <c r="P126" s="9"/>
      <c r="Q126" s="5"/>
      <c r="R126" s="10"/>
      <c r="S126" s="10"/>
      <c r="T126" s="10"/>
      <c r="U126" s="11"/>
      <c r="V126" s="13"/>
      <c r="W126" s="13"/>
      <c r="X126" s="10"/>
    </row>
    <row r="127" spans="1:24" x14ac:dyDescent="0.2">
      <c r="A127" s="8"/>
      <c r="B127" s="14"/>
      <c r="C127" s="14"/>
      <c r="D127" s="9"/>
      <c r="E127" s="9"/>
      <c r="F127" s="9"/>
      <c r="G127" s="5"/>
      <c r="H127" s="9"/>
      <c r="I127" s="9"/>
      <c r="J127" s="9"/>
      <c r="K127" s="9"/>
      <c r="L127" s="9"/>
      <c r="M127" s="14"/>
      <c r="N127" s="9"/>
      <c r="O127" s="9"/>
      <c r="P127" s="9"/>
      <c r="Q127" s="5"/>
      <c r="R127" s="10"/>
      <c r="S127" s="10"/>
      <c r="T127" s="10"/>
      <c r="U127" s="11"/>
      <c r="V127" s="13"/>
      <c r="W127" s="13"/>
      <c r="X127" s="10"/>
    </row>
    <row r="128" spans="1:24" x14ac:dyDescent="0.2">
      <c r="A128" s="8"/>
      <c r="B128" s="14"/>
      <c r="C128" s="14"/>
      <c r="D128" s="9"/>
      <c r="E128" s="9"/>
      <c r="F128" s="9"/>
      <c r="G128" s="5"/>
      <c r="H128" s="9"/>
      <c r="I128" s="9"/>
      <c r="J128" s="9"/>
      <c r="K128" s="9"/>
      <c r="L128" s="9"/>
      <c r="M128" s="14"/>
      <c r="N128" s="9"/>
      <c r="O128" s="9"/>
      <c r="P128" s="9"/>
      <c r="Q128" s="5"/>
      <c r="R128" s="10"/>
      <c r="S128" s="10"/>
      <c r="T128" s="10"/>
      <c r="U128" s="11"/>
      <c r="V128" s="13"/>
      <c r="W128" s="13"/>
      <c r="X128" s="10"/>
    </row>
    <row r="129" spans="1:24" x14ac:dyDescent="0.2">
      <c r="A129" s="8"/>
      <c r="B129" s="14"/>
      <c r="C129" s="14"/>
      <c r="D129" s="9"/>
      <c r="E129" s="9"/>
      <c r="F129" s="9"/>
      <c r="G129" s="5"/>
      <c r="H129" s="9"/>
      <c r="I129" s="9"/>
      <c r="J129" s="9"/>
      <c r="K129" s="9"/>
      <c r="L129" s="9"/>
      <c r="M129" s="14"/>
      <c r="N129" s="9"/>
      <c r="O129" s="9"/>
      <c r="P129" s="9"/>
      <c r="Q129" s="5"/>
      <c r="R129" s="10"/>
      <c r="S129" s="10"/>
      <c r="T129" s="10"/>
      <c r="U129" s="11"/>
      <c r="V129" s="13"/>
      <c r="W129" s="13"/>
      <c r="X129" s="10"/>
    </row>
    <row r="130" spans="1:24" x14ac:dyDescent="0.2">
      <c r="A130" s="8"/>
      <c r="B130" s="14"/>
      <c r="C130" s="14"/>
      <c r="D130" s="9"/>
      <c r="E130" s="9"/>
      <c r="F130" s="9"/>
      <c r="G130" s="5"/>
      <c r="H130" s="9"/>
      <c r="I130" s="9"/>
      <c r="J130" s="9"/>
      <c r="K130" s="9"/>
      <c r="L130" s="9"/>
      <c r="M130" s="14"/>
      <c r="N130" s="9"/>
      <c r="O130" s="9"/>
      <c r="P130" s="9"/>
      <c r="Q130" s="5"/>
      <c r="R130" s="10"/>
      <c r="S130" s="10"/>
      <c r="T130" s="10"/>
      <c r="U130" s="11"/>
      <c r="V130" s="13"/>
      <c r="W130" s="13"/>
      <c r="X130" s="10"/>
    </row>
    <row r="131" spans="1:24" x14ac:dyDescent="0.2">
      <c r="A131" s="8"/>
      <c r="B131" s="14"/>
      <c r="C131" s="14"/>
      <c r="D131" s="9"/>
      <c r="E131" s="9"/>
      <c r="F131" s="9"/>
      <c r="G131" s="5"/>
      <c r="H131" s="9"/>
      <c r="I131" s="9"/>
      <c r="J131" s="9"/>
      <c r="K131" s="9"/>
      <c r="L131" s="9"/>
      <c r="M131" s="14"/>
      <c r="N131" s="9"/>
      <c r="O131" s="9"/>
      <c r="P131" s="9"/>
      <c r="Q131" s="5"/>
      <c r="R131" s="10"/>
      <c r="S131" s="10"/>
      <c r="T131" s="10"/>
      <c r="U131" s="11"/>
      <c r="V131" s="13"/>
      <c r="W131" s="13"/>
      <c r="X131" s="10"/>
    </row>
    <row r="132" spans="1:24" x14ac:dyDescent="0.2">
      <c r="A132" s="8"/>
      <c r="B132" s="14"/>
      <c r="C132" s="14"/>
      <c r="D132" s="9"/>
      <c r="E132" s="9"/>
      <c r="F132" s="9"/>
      <c r="G132" s="5"/>
      <c r="H132" s="9"/>
      <c r="I132" s="9"/>
      <c r="J132" s="9"/>
      <c r="K132" s="9"/>
      <c r="L132" s="9"/>
      <c r="M132" s="14"/>
      <c r="N132" s="9"/>
      <c r="O132" s="9"/>
      <c r="P132" s="9"/>
      <c r="Q132" s="5"/>
      <c r="R132" s="10"/>
      <c r="S132" s="10"/>
      <c r="T132" s="10"/>
      <c r="U132" s="11"/>
      <c r="V132" s="13"/>
      <c r="W132" s="13"/>
      <c r="X132" s="10"/>
    </row>
    <row r="133" spans="1:24" x14ac:dyDescent="0.2">
      <c r="A133" s="8"/>
      <c r="B133" s="14"/>
      <c r="C133" s="14"/>
      <c r="D133" s="9"/>
      <c r="E133" s="9"/>
      <c r="F133" s="9"/>
      <c r="G133" s="5"/>
      <c r="H133" s="9"/>
      <c r="I133" s="9"/>
      <c r="J133" s="9"/>
      <c r="K133" s="9"/>
      <c r="L133" s="9"/>
      <c r="M133" s="14"/>
      <c r="N133" s="9"/>
      <c r="O133" s="9"/>
      <c r="P133" s="9"/>
      <c r="Q133" s="5"/>
      <c r="R133" s="10"/>
      <c r="S133" s="10"/>
      <c r="T133" s="10"/>
      <c r="U133" s="11"/>
      <c r="V133" s="13"/>
      <c r="W133" s="13"/>
      <c r="X133" s="10"/>
    </row>
    <row r="134" spans="1:24" x14ac:dyDescent="0.2">
      <c r="A134" s="8"/>
      <c r="B134" s="14"/>
      <c r="C134" s="14"/>
      <c r="D134" s="9"/>
      <c r="E134" s="9"/>
      <c r="F134" s="9"/>
      <c r="G134" s="5"/>
      <c r="H134" s="9"/>
      <c r="I134" s="9"/>
      <c r="J134" s="9"/>
      <c r="K134" s="9"/>
      <c r="L134" s="9"/>
      <c r="M134" s="14"/>
      <c r="N134" s="9"/>
      <c r="O134" s="9"/>
      <c r="P134" s="9"/>
      <c r="Q134" s="5"/>
      <c r="R134" s="10"/>
      <c r="S134" s="10"/>
      <c r="T134" s="10"/>
      <c r="U134" s="11"/>
      <c r="V134" s="13"/>
      <c r="W134" s="13"/>
      <c r="X134" s="10"/>
    </row>
    <row r="135" spans="1:24" x14ac:dyDescent="0.2">
      <c r="A135" s="8"/>
      <c r="B135" s="14"/>
      <c r="C135" s="14"/>
      <c r="D135" s="9"/>
      <c r="E135" s="9"/>
      <c r="F135" s="9"/>
      <c r="G135" s="5"/>
      <c r="H135" s="9"/>
      <c r="I135" s="9"/>
      <c r="J135" s="9"/>
      <c r="K135" s="9"/>
      <c r="L135" s="9"/>
      <c r="M135" s="14"/>
      <c r="N135" s="9"/>
      <c r="O135" s="9"/>
      <c r="P135" s="9"/>
      <c r="Q135" s="5"/>
      <c r="R135" s="10"/>
      <c r="S135" s="10"/>
      <c r="T135" s="10"/>
      <c r="U135" s="11"/>
      <c r="V135" s="13"/>
      <c r="W135" s="13"/>
      <c r="X135" s="10"/>
    </row>
    <row r="136" spans="1:24" x14ac:dyDescent="0.2">
      <c r="A136" s="8"/>
      <c r="B136" s="14"/>
      <c r="C136" s="14"/>
      <c r="D136" s="9"/>
      <c r="E136" s="9"/>
      <c r="F136" s="9"/>
      <c r="G136" s="5"/>
      <c r="H136" s="9"/>
      <c r="I136" s="9"/>
      <c r="J136" s="9"/>
      <c r="K136" s="9"/>
      <c r="L136" s="9"/>
      <c r="M136" s="14"/>
      <c r="N136" s="9"/>
      <c r="O136" s="9"/>
      <c r="P136" s="9"/>
      <c r="Q136" s="5"/>
      <c r="R136" s="10"/>
      <c r="S136" s="10"/>
      <c r="T136" s="10"/>
      <c r="U136" s="11"/>
      <c r="V136" s="13"/>
      <c r="W136" s="13"/>
      <c r="X136" s="10"/>
    </row>
    <row r="137" spans="1:24" x14ac:dyDescent="0.2">
      <c r="A137" s="8"/>
      <c r="B137" s="14"/>
      <c r="C137" s="14"/>
      <c r="D137" s="9"/>
      <c r="E137" s="9"/>
      <c r="F137" s="9"/>
      <c r="G137" s="5"/>
      <c r="H137" s="9"/>
      <c r="I137" s="9"/>
      <c r="J137" s="9"/>
      <c r="K137" s="9"/>
      <c r="L137" s="9"/>
      <c r="M137" s="14"/>
      <c r="N137" s="9"/>
      <c r="O137" s="9"/>
      <c r="P137" s="9"/>
      <c r="Q137" s="5"/>
      <c r="R137" s="10"/>
      <c r="S137" s="10"/>
      <c r="T137" s="10"/>
      <c r="U137" s="11"/>
      <c r="V137" s="13"/>
      <c r="W137" s="13"/>
      <c r="X137" s="10"/>
    </row>
    <row r="138" spans="1:24" x14ac:dyDescent="0.2">
      <c r="A138" s="8"/>
      <c r="B138" s="14"/>
      <c r="C138" s="14"/>
      <c r="D138" s="9"/>
      <c r="E138" s="9"/>
      <c r="F138" s="9"/>
      <c r="G138" s="5"/>
      <c r="H138" s="9"/>
      <c r="I138" s="9"/>
      <c r="J138" s="9"/>
      <c r="K138" s="9"/>
      <c r="L138" s="9"/>
      <c r="M138" s="14"/>
      <c r="N138" s="9"/>
      <c r="O138" s="9"/>
      <c r="P138" s="9"/>
      <c r="Q138" s="5"/>
      <c r="R138" s="10"/>
      <c r="S138" s="10"/>
      <c r="T138" s="10"/>
      <c r="U138" s="11"/>
      <c r="V138" s="13"/>
      <c r="W138" s="13"/>
      <c r="X138" s="10"/>
    </row>
    <row r="139" spans="1:24" x14ac:dyDescent="0.2">
      <c r="A139" s="8"/>
      <c r="B139" s="14"/>
      <c r="C139" s="14"/>
      <c r="D139" s="9"/>
      <c r="E139" s="9"/>
      <c r="F139" s="9"/>
      <c r="G139" s="5"/>
      <c r="H139" s="9"/>
      <c r="I139" s="9"/>
      <c r="J139" s="9"/>
      <c r="K139" s="9"/>
      <c r="L139" s="9"/>
      <c r="M139" s="14"/>
      <c r="N139" s="9"/>
      <c r="O139" s="9"/>
      <c r="P139" s="9"/>
      <c r="Q139" s="5"/>
      <c r="R139" s="10"/>
      <c r="S139" s="10"/>
      <c r="T139" s="10"/>
      <c r="U139" s="11"/>
      <c r="V139" s="13"/>
      <c r="W139" s="13"/>
      <c r="X139" s="10"/>
    </row>
    <row r="140" spans="1:24" x14ac:dyDescent="0.2">
      <c r="A140" s="8"/>
      <c r="B140" s="14"/>
      <c r="C140" s="14"/>
      <c r="D140" s="9"/>
      <c r="E140" s="9"/>
      <c r="F140" s="9"/>
      <c r="G140" s="5"/>
      <c r="H140" s="9"/>
      <c r="I140" s="9"/>
      <c r="J140" s="9"/>
      <c r="K140" s="9"/>
      <c r="L140" s="9"/>
      <c r="M140" s="14"/>
      <c r="N140" s="9"/>
      <c r="O140" s="9"/>
      <c r="P140" s="9"/>
      <c r="Q140" s="5"/>
      <c r="R140" s="10"/>
      <c r="S140" s="10"/>
      <c r="T140" s="10"/>
      <c r="U140" s="11"/>
      <c r="V140" s="13"/>
      <c r="W140" s="13"/>
      <c r="X140" s="10"/>
    </row>
    <row r="141" spans="1:24" x14ac:dyDescent="0.2">
      <c r="A141" s="8"/>
      <c r="B141" s="14"/>
      <c r="C141" s="14"/>
      <c r="D141" s="9"/>
      <c r="E141" s="9"/>
      <c r="F141" s="9"/>
      <c r="G141" s="5"/>
      <c r="H141" s="9"/>
      <c r="I141" s="9"/>
      <c r="J141" s="9"/>
      <c r="K141" s="9"/>
      <c r="L141" s="9"/>
      <c r="M141" s="14"/>
      <c r="N141" s="9"/>
      <c r="O141" s="9"/>
      <c r="P141" s="9"/>
      <c r="Q141" s="5"/>
      <c r="R141" s="10"/>
      <c r="S141" s="10"/>
      <c r="T141" s="10"/>
      <c r="U141" s="11"/>
      <c r="V141" s="13"/>
      <c r="W141" s="13"/>
      <c r="X141" s="10"/>
    </row>
    <row r="142" spans="1:24" x14ac:dyDescent="0.2">
      <c r="A142" s="8"/>
      <c r="B142" s="14"/>
      <c r="C142" s="14"/>
      <c r="D142" s="9"/>
      <c r="E142" s="9"/>
      <c r="F142" s="9"/>
      <c r="G142" s="5"/>
      <c r="H142" s="9"/>
      <c r="I142" s="9"/>
      <c r="J142" s="9"/>
      <c r="K142" s="9"/>
      <c r="L142" s="9"/>
      <c r="M142" s="14"/>
      <c r="N142" s="9"/>
      <c r="O142" s="9"/>
      <c r="P142" s="9"/>
      <c r="Q142" s="5"/>
      <c r="R142" s="10"/>
      <c r="S142" s="10"/>
      <c r="T142" s="10"/>
      <c r="U142" s="11"/>
      <c r="V142" s="13"/>
      <c r="W142" s="13"/>
      <c r="X142" s="10"/>
    </row>
    <row r="143" spans="1:24" x14ac:dyDescent="0.2">
      <c r="A143" s="8"/>
      <c r="B143" s="14"/>
      <c r="C143" s="14"/>
      <c r="D143" s="9"/>
      <c r="E143" s="9"/>
      <c r="F143" s="9"/>
      <c r="G143" s="5"/>
      <c r="H143" s="9"/>
      <c r="I143" s="9"/>
      <c r="J143" s="9"/>
      <c r="K143" s="9"/>
      <c r="L143" s="9"/>
      <c r="M143" s="14"/>
      <c r="N143" s="9"/>
      <c r="O143" s="9"/>
      <c r="P143" s="9"/>
      <c r="Q143" s="5"/>
      <c r="R143" s="10"/>
      <c r="S143" s="10"/>
      <c r="T143" s="10"/>
      <c r="U143" s="11"/>
      <c r="V143" s="13"/>
      <c r="W143" s="13"/>
      <c r="X143" s="10"/>
    </row>
    <row r="144" spans="1:24" x14ac:dyDescent="0.2">
      <c r="A144" s="8"/>
      <c r="B144" s="14"/>
      <c r="C144" s="14"/>
      <c r="D144" s="9"/>
      <c r="E144" s="9"/>
      <c r="F144" s="9"/>
      <c r="G144" s="5"/>
      <c r="H144" s="9"/>
      <c r="I144" s="9"/>
      <c r="J144" s="9"/>
      <c r="K144" s="9"/>
      <c r="L144" s="9"/>
      <c r="M144" s="14"/>
      <c r="N144" s="9"/>
      <c r="O144" s="9"/>
      <c r="P144" s="9"/>
      <c r="Q144" s="5"/>
      <c r="R144" s="10"/>
      <c r="S144" s="10"/>
      <c r="T144" s="10"/>
      <c r="U144" s="11"/>
      <c r="V144" s="13"/>
      <c r="W144" s="13"/>
      <c r="X144" s="10"/>
    </row>
    <row r="145" spans="1:24" x14ac:dyDescent="0.2">
      <c r="A145" s="8"/>
      <c r="B145" s="14"/>
      <c r="C145" s="14"/>
      <c r="D145" s="9"/>
      <c r="E145" s="9"/>
      <c r="F145" s="9"/>
      <c r="G145" s="5"/>
      <c r="H145" s="9"/>
      <c r="I145" s="9"/>
      <c r="J145" s="9"/>
      <c r="K145" s="9"/>
      <c r="L145" s="9"/>
      <c r="M145" s="14"/>
      <c r="N145" s="9"/>
      <c r="O145" s="9"/>
      <c r="P145" s="9"/>
      <c r="Q145" s="5"/>
      <c r="R145" s="10"/>
      <c r="S145" s="10"/>
      <c r="T145" s="10"/>
      <c r="U145" s="11"/>
      <c r="V145" s="13"/>
      <c r="W145" s="13"/>
      <c r="X145" s="10"/>
    </row>
    <row r="146" spans="1:24" x14ac:dyDescent="0.2">
      <c r="A146" s="8"/>
      <c r="B146" s="14"/>
      <c r="C146" s="14"/>
      <c r="D146" s="9"/>
      <c r="E146" s="9"/>
      <c r="F146" s="9"/>
      <c r="G146" s="5"/>
      <c r="H146" s="9"/>
      <c r="I146" s="9"/>
      <c r="J146" s="9"/>
      <c r="K146" s="9"/>
      <c r="L146" s="9"/>
      <c r="M146" s="14"/>
      <c r="N146" s="9"/>
      <c r="O146" s="9"/>
      <c r="P146" s="9"/>
      <c r="Q146" s="5"/>
      <c r="R146" s="10"/>
      <c r="S146" s="10"/>
      <c r="T146" s="10"/>
      <c r="U146" s="11"/>
      <c r="V146" s="12"/>
      <c r="W146" s="12"/>
      <c r="X14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Reset_DS">
                <anchor moveWithCells="1" sizeWithCells="1">
                  <from>
                    <xdr:col>24</xdr:col>
                    <xdr:colOff>85725</xdr:colOff>
                    <xdr:row>10</xdr:row>
                    <xdr:rowOff>57150</xdr:rowOff>
                  </from>
                  <to>
                    <xdr:col>25</xdr:col>
                    <xdr:colOff>247650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Solve_DS">
                <anchor moveWithCells="1" sizeWithCells="1">
                  <from>
                    <xdr:col>24</xdr:col>
                    <xdr:colOff>66675</xdr:colOff>
                    <xdr:row>12</xdr:row>
                    <xdr:rowOff>57150</xdr:rowOff>
                  </from>
                  <to>
                    <xdr:col>25</xdr:col>
                    <xdr:colOff>238125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Button 5">
              <controlPr defaultSize="0" print="0" autoFill="0" autoPict="0" macro="[0]!Reset_DS">
                <anchor moveWithCells="1" sizeWithCells="1">
                  <from>
                    <xdr:col>24</xdr:col>
                    <xdr:colOff>85725</xdr:colOff>
                    <xdr:row>10</xdr:row>
                    <xdr:rowOff>57150</xdr:rowOff>
                  </from>
                  <to>
                    <xdr:col>25</xdr:col>
                    <xdr:colOff>247650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Button 6">
              <controlPr defaultSize="0" print="0" autoFill="0" autoPict="0" macro="[0]!Solve_DS">
                <anchor moveWithCells="1" sizeWithCells="1">
                  <from>
                    <xdr:col>24</xdr:col>
                    <xdr:colOff>66675</xdr:colOff>
                    <xdr:row>12</xdr:row>
                    <xdr:rowOff>57150</xdr:rowOff>
                  </from>
                  <to>
                    <xdr:col>25</xdr:col>
                    <xdr:colOff>238125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4CF5-4B7E-44BB-9D78-8C1ADEB94492}">
  <sheetPr codeName="Sheet6"/>
  <dimension ref="A1:DC146"/>
  <sheetViews>
    <sheetView zoomScaleNormal="100" workbookViewId="0"/>
  </sheetViews>
  <sheetFormatPr defaultRowHeight="12.75" x14ac:dyDescent="0.2"/>
  <cols>
    <col min="12" max="12" width="9.140625" style="36"/>
    <col min="15" max="16" width="9.28515625" customWidth="1"/>
    <col min="17" max="39" width="9.140625" customWidth="1"/>
    <col min="40" max="40" width="10.7109375" customWidth="1"/>
    <col min="41" max="41" width="11" bestFit="1" customWidth="1"/>
    <col min="42" max="42" width="11" customWidth="1"/>
    <col min="48" max="48" width="9" bestFit="1" customWidth="1"/>
    <col min="49" max="49" width="8" bestFit="1" customWidth="1"/>
    <col min="50" max="50" width="10.28515625" bestFit="1" customWidth="1"/>
  </cols>
  <sheetData>
    <row r="1" spans="1:56" x14ac:dyDescent="0.2">
      <c r="B1">
        <v>2</v>
      </c>
      <c r="F1">
        <v>6</v>
      </c>
      <c r="M1" s="8">
        <v>13</v>
      </c>
      <c r="N1" s="8">
        <v>14</v>
      </c>
      <c r="O1" s="8">
        <v>15</v>
      </c>
      <c r="P1" s="8">
        <v>16</v>
      </c>
      <c r="Q1" s="8">
        <v>17</v>
      </c>
      <c r="R1" s="8">
        <v>18</v>
      </c>
      <c r="S1" s="8">
        <v>19</v>
      </c>
      <c r="T1" s="8">
        <v>20</v>
      </c>
      <c r="U1" s="8">
        <v>21</v>
      </c>
      <c r="V1" s="8">
        <v>22</v>
      </c>
      <c r="W1" s="8">
        <v>23</v>
      </c>
      <c r="X1" s="8">
        <v>24</v>
      </c>
      <c r="Y1" s="8">
        <v>25</v>
      </c>
      <c r="Z1" s="8">
        <v>26</v>
      </c>
      <c r="AA1" s="8">
        <v>27</v>
      </c>
      <c r="AB1" s="8">
        <v>28</v>
      </c>
      <c r="AC1" s="8">
        <v>29</v>
      </c>
      <c r="AD1" s="8">
        <v>30</v>
      </c>
      <c r="AE1" s="8">
        <v>31</v>
      </c>
      <c r="AF1" s="8">
        <v>32</v>
      </c>
      <c r="AG1" s="8">
        <v>33</v>
      </c>
      <c r="AH1" s="8">
        <v>34</v>
      </c>
      <c r="AI1" s="8">
        <v>35</v>
      </c>
      <c r="AJ1" s="8">
        <v>36</v>
      </c>
      <c r="AK1" s="8">
        <v>37</v>
      </c>
      <c r="AL1" s="8">
        <v>38</v>
      </c>
      <c r="AM1" s="8">
        <v>39</v>
      </c>
      <c r="AN1" s="8">
        <v>40</v>
      </c>
      <c r="AO1" s="8">
        <v>41</v>
      </c>
      <c r="AP1" s="8">
        <v>42</v>
      </c>
      <c r="AQ1" s="8">
        <v>43</v>
      </c>
      <c r="AR1" s="8">
        <v>44</v>
      </c>
      <c r="AS1" s="8">
        <v>45</v>
      </c>
      <c r="AT1" s="8">
        <v>46</v>
      </c>
      <c r="AU1" s="8">
        <v>47</v>
      </c>
      <c r="AV1" s="8">
        <v>48</v>
      </c>
      <c r="AW1" s="8">
        <v>49</v>
      </c>
      <c r="AX1" s="8">
        <v>50</v>
      </c>
      <c r="AY1" s="8">
        <v>51</v>
      </c>
      <c r="AZ1" s="8">
        <v>52</v>
      </c>
      <c r="BA1" s="8">
        <v>53</v>
      </c>
      <c r="BB1" s="8">
        <v>54</v>
      </c>
      <c r="BC1" s="8">
        <v>55</v>
      </c>
      <c r="BD1" s="8">
        <v>56</v>
      </c>
    </row>
    <row r="2" spans="1:56" ht="16.5" thickBot="1" x14ac:dyDescent="0.35">
      <c r="A2" s="1" t="s">
        <v>16</v>
      </c>
      <c r="B2" s="34">
        <f>'Grid-BC'!B15</f>
        <v>1000</v>
      </c>
      <c r="C2" s="1" t="s">
        <v>13</v>
      </c>
      <c r="E2" t="s">
        <v>18</v>
      </c>
      <c r="F2" s="34">
        <f>'Grid-BC'!F14</f>
        <v>8.0000000000000004E-4</v>
      </c>
      <c r="G2" t="s">
        <v>8</v>
      </c>
      <c r="M2" s="14" t="s">
        <v>0</v>
      </c>
      <c r="N2" s="14" t="s">
        <v>1</v>
      </c>
      <c r="O2" s="14" t="s">
        <v>2</v>
      </c>
      <c r="P2" s="14" t="s">
        <v>52</v>
      </c>
      <c r="Q2" s="14" t="s">
        <v>51</v>
      </c>
      <c r="R2" s="14" t="s">
        <v>61</v>
      </c>
      <c r="S2" s="14" t="s">
        <v>63</v>
      </c>
      <c r="T2" s="14" t="s">
        <v>3</v>
      </c>
      <c r="U2" s="14" t="s">
        <v>6</v>
      </c>
      <c r="V2" s="14" t="s">
        <v>57</v>
      </c>
      <c r="W2" s="14" t="s">
        <v>82</v>
      </c>
      <c r="X2" s="14" t="s">
        <v>5</v>
      </c>
      <c r="Y2" s="14" t="s">
        <v>20</v>
      </c>
      <c r="Z2" s="14" t="s">
        <v>4</v>
      </c>
      <c r="AA2" s="14" t="s">
        <v>21</v>
      </c>
      <c r="AB2" s="14" t="s">
        <v>12</v>
      </c>
      <c r="AC2" s="14" t="s">
        <v>30</v>
      </c>
      <c r="AD2" s="14" t="s">
        <v>95</v>
      </c>
      <c r="AE2" s="14" t="s">
        <v>35</v>
      </c>
      <c r="AF2" s="14" t="s">
        <v>22</v>
      </c>
      <c r="AG2" s="14" t="s">
        <v>33</v>
      </c>
      <c r="AH2" s="14" t="s">
        <v>31</v>
      </c>
      <c r="AI2" s="14" t="s">
        <v>37</v>
      </c>
      <c r="AJ2" s="14" t="s">
        <v>98</v>
      </c>
      <c r="AK2" s="14" t="s">
        <v>45</v>
      </c>
      <c r="AL2" s="14" t="s">
        <v>38</v>
      </c>
      <c r="AM2" s="14" t="s">
        <v>99</v>
      </c>
      <c r="AN2" s="14" t="s">
        <v>66</v>
      </c>
      <c r="AO2" s="14" t="s">
        <v>67</v>
      </c>
      <c r="AP2" s="14" t="s">
        <v>96</v>
      </c>
      <c r="AQ2" s="14" t="s">
        <v>79</v>
      </c>
      <c r="AR2" s="14" t="s">
        <v>97</v>
      </c>
      <c r="AS2" s="14" t="s">
        <v>33</v>
      </c>
      <c r="AT2" s="14" t="s">
        <v>76</v>
      </c>
      <c r="AU2" s="14" t="s">
        <v>78</v>
      </c>
      <c r="AV2" t="s">
        <v>83</v>
      </c>
      <c r="AW2" t="s">
        <v>84</v>
      </c>
      <c r="AX2" s="14" t="s">
        <v>85</v>
      </c>
      <c r="AY2" s="8" t="s">
        <v>75</v>
      </c>
      <c r="AZ2" s="8" t="s">
        <v>88</v>
      </c>
      <c r="BA2" s="14" t="s">
        <v>89</v>
      </c>
      <c r="BB2" s="14" t="s">
        <v>90</v>
      </c>
      <c r="BC2" s="14" t="s">
        <v>91</v>
      </c>
      <c r="BD2" s="14" t="s">
        <v>92</v>
      </c>
    </row>
    <row r="3" spans="1:56" ht="15.75" thickTop="1" thickBot="1" x14ac:dyDescent="0.25">
      <c r="A3" t="s">
        <v>7</v>
      </c>
      <c r="B3" s="34">
        <f>'Grid-BC'!B11</f>
        <v>9.81</v>
      </c>
      <c r="C3" t="s">
        <v>11</v>
      </c>
      <c r="E3" t="s">
        <v>10</v>
      </c>
      <c r="F3" s="32">
        <f>'Grid-BC'!F15</f>
        <v>1.4508717894715074E-2</v>
      </c>
      <c r="G3" t="s">
        <v>19</v>
      </c>
      <c r="M3" s="8">
        <f>IF(US!$W3&gt;DS!$W3,US!A3,DS!A3)</f>
        <v>1</v>
      </c>
      <c r="N3" s="14">
        <f>IF(US!$W3&gt;DS!$W3,US!B3,DS!B3)</f>
        <v>100</v>
      </c>
      <c r="O3" s="14">
        <f>IF(US!$W3&gt;DS!$W3,US!C3,DS!C3)</f>
        <v>10.635</v>
      </c>
      <c r="P3" s="10">
        <f>IF(US!$W3&gt;DS!$W3,US!D3,DS!D3)</f>
        <v>10.535</v>
      </c>
      <c r="Q3" s="8">
        <f>IF(US!$W3&gt;DS!$W3,US!E3,DS!E3)</f>
        <v>10</v>
      </c>
      <c r="R3" s="20">
        <f>IF(US!$W3&gt;DS!$W3,US!F3,DS!F3)</f>
        <v>0</v>
      </c>
      <c r="S3" s="20">
        <f>IF(US!$W3&gt;DS!$W3,US!G3,DS!G3)</f>
        <v>0</v>
      </c>
      <c r="T3" s="9">
        <f>IF(US!$W3&gt;DS!$W3,US!H3,DS!H3)</f>
        <v>0.52986626832442085</v>
      </c>
      <c r="U3" s="9">
        <f>IF(US!$W3&gt;DS!$W3,US!I3,DS!I3)</f>
        <v>11.16486626832442</v>
      </c>
      <c r="V3" s="9">
        <f>IF(US!$W3&gt;DS!$W3,US!J3,DS!J3)</f>
        <v>20</v>
      </c>
      <c r="W3" s="10">
        <f>IF(US!$W3&gt;DS!$W3,US!K3,DS!K3)</f>
        <v>1.4508717894715074E-2</v>
      </c>
      <c r="X3" s="9">
        <f>IF(US!$W3&gt;DS!$W3,US!L3,DS!L3)</f>
        <v>10</v>
      </c>
      <c r="Y3" s="9">
        <f>IF(US!$W3&gt;DS!$W3,US!M3,DS!M3)</f>
        <v>5.2986626832442081</v>
      </c>
      <c r="Z3" s="9">
        <f>IF(US!$W3&gt;DS!$W3,US!N3,DS!N3)</f>
        <v>11.059732536648841</v>
      </c>
      <c r="AA3" s="9">
        <f>IF(US!$W3&gt;DS!$W3,US!O3,DS!O3)</f>
        <v>0.47909501117553532</v>
      </c>
      <c r="AB3" s="9">
        <f>IF(US!$W3&gt;DS!$W3,US!P3,DS!P3)</f>
        <v>3.7745373116966592</v>
      </c>
      <c r="AC3" s="9">
        <f>IF(US!$W3&gt;DS!$W3,US!Q3,DS!Q3)</f>
        <v>2.2799096675663639</v>
      </c>
      <c r="AD3" s="5">
        <f>IF(US!$W3&gt;DS!$W3,US!R3,DS!R3)</f>
        <v>1.6555644135347258</v>
      </c>
      <c r="AE3" s="10">
        <f>IF(US!$W3&gt;DS!$W3,US!S3,DS!S3)</f>
        <v>11.891019780933505</v>
      </c>
      <c r="AF3" s="12">
        <f>IF(US!$W3&gt;DS!$W3,US!T3,DS!T3)</f>
        <v>7.999999999999903E-3</v>
      </c>
      <c r="AG3" s="13">
        <f>IF(US!$W3&gt;DS!$W3,US!U3,DS!U3)</f>
        <v>1.3524843034459364E-31</v>
      </c>
      <c r="AH3" s="5">
        <f>IF(US!$W3&gt;DS!$W3,US!V3,DS!V3)</f>
        <v>0.26493313416221043</v>
      </c>
      <c r="AI3" s="5">
        <f>IF(US!$W3&gt;DS!$W3,US!W3,DS!W3)</f>
        <v>89.261939000142888</v>
      </c>
      <c r="AJ3" s="8">
        <f>$B$2*$B$3*AA3*AF3</f>
        <v>37.599376477055557</v>
      </c>
      <c r="AK3" s="5">
        <f>AJ3/($B$2*$B$3*$F$6*$F$2)</f>
        <v>2.9036061283365422</v>
      </c>
      <c r="AL3" s="5">
        <f>IF(AK3&gt;$F$4,IF(AK3&lt;0.18,2.15*EXP(-0.391/AK3),IF(AK3&gt;0.52,15*AK3^1.5,40*AK3^3)),0)</f>
        <v>74.216046480744708</v>
      </c>
      <c r="AM3" s="12">
        <f>SQRT($B$3*$F$2*$F$6)*$F$2*AL3</f>
        <v>6.7563053914641126E-3</v>
      </c>
      <c r="AN3" s="5">
        <f>SQRT(AJ3/$B$2)</f>
        <v>0.19390558650295653</v>
      </c>
      <c r="AO3" s="5">
        <f t="shared" ref="AO3" si="0">(N4-N3)/AN3</f>
        <v>25.785744960595881</v>
      </c>
      <c r="AP3" s="10">
        <v>10.935641297324029</v>
      </c>
      <c r="AQ3" s="10">
        <v>0.5276219982039696</v>
      </c>
      <c r="AR3" s="10">
        <f>Hs(V3,AQ3,Q3,AF3,$F$2,$F$11,$B$3,$F$6)</f>
        <v>0.29221921703230302</v>
      </c>
      <c r="AS3" s="13">
        <f>(AQ3-AR3)^2</f>
        <v>5.5414469383355543E-2</v>
      </c>
      <c r="AT3" s="10">
        <f>(V3/Q3)/((8.32*(AQ3/$F$12)^(1/6))*SQRT($B$3*AQ3*AF3))</f>
        <v>0.70579804258075718</v>
      </c>
      <c r="AU3" s="10">
        <f>(1/V3)*Q3*(AT3^(5/3))*SQRT(AF3)</f>
        <v>2.5021638603463809E-2</v>
      </c>
      <c r="AV3" s="11">
        <f t="shared" ref="AV3" si="1">AN3*BC3*BD3*T3/0.4</f>
        <v>1.3740259549962145E-2</v>
      </c>
      <c r="AW3" s="25">
        <f>AM3+'Grid-BC'!L27</f>
        <v>6.7563053914641126E-3</v>
      </c>
      <c r="AX3" s="10">
        <f>Find_TauMIN(AD3)</f>
        <v>0.91360072498723155</v>
      </c>
      <c r="AY3" s="23">
        <f t="shared" ref="AY3" si="2">IF(AX3&gt;T3*AF3/($F$6*$F$2),T3,($F$6*$F$2*(0.05+0.7*((T3*AF3/($F$6*$F$2))*(V3/Q3/(SQRT($B$3)*T3^(3/2)))^0.7)^0.8)/AF3))</f>
        <v>0.39777707834082277</v>
      </c>
      <c r="AZ3" s="9">
        <f t="shared" ref="AZ3" si="3">AB3/AN3</f>
        <v>19.465851292732651</v>
      </c>
      <c r="BA3" s="9">
        <f t="shared" ref="BA3" si="4">11*T3/(EXP(0.4*AZ3))</f>
        <v>2.4209969217981043E-3</v>
      </c>
      <c r="BB3" s="5">
        <f t="shared" ref="BB3" si="5">(SQRT($B$3*AY3*AF3)/($F$10*$F$9))*($F$8^0.6)*(AF3^0.07)</f>
        <v>13.941511724480984</v>
      </c>
      <c r="BC3" s="12">
        <f>(0.00000057)*(BB3^5)/((1+((0.00000057)/0.3)*BB3^5))</f>
        <v>0.15005231631499538</v>
      </c>
      <c r="BD3" s="28">
        <f>Rouse(T3,$F$10,AN3,BA3)</f>
        <v>0.35649679484005903</v>
      </c>
    </row>
    <row r="4" spans="1:56" ht="17.25" thickTop="1" thickBot="1" x14ac:dyDescent="0.35">
      <c r="A4" t="s">
        <v>25</v>
      </c>
      <c r="B4" s="35">
        <f>'Grid-BC'!B16</f>
        <v>9.9999999999999995E-7</v>
      </c>
      <c r="C4" t="s">
        <v>26</v>
      </c>
      <c r="E4" t="s">
        <v>47</v>
      </c>
      <c r="F4" s="32">
        <f>'Grid-BC'!F18</f>
        <v>3.2468796845652986E-2</v>
      </c>
      <c r="M4" s="8">
        <f>IF(US!$W4&gt;DS!$W4,US!A4,DS!A4)</f>
        <v>2</v>
      </c>
      <c r="N4" s="14">
        <f>IF(US!$W4&gt;DS!$W4,US!B4,DS!B4)</f>
        <v>105</v>
      </c>
      <c r="O4" s="14">
        <f>IF(US!$W4&gt;DS!$W4,US!C4,DS!C4)</f>
        <v>10.595000000000001</v>
      </c>
      <c r="P4" s="10">
        <f>IF(US!$W4&gt;DS!$W4,US!D4,DS!D4)</f>
        <v>10.495000000000001</v>
      </c>
      <c r="Q4" s="8">
        <f>IF(US!$W4&gt;DS!$W4,US!E4,DS!E4)</f>
        <v>10</v>
      </c>
      <c r="R4" s="20">
        <f>IF(US!$W4&gt;DS!$W4,US!F4,DS!F4)</f>
        <v>0</v>
      </c>
      <c r="S4" s="20">
        <f>IF(US!$W4&gt;DS!$W4,US!G4,DS!G4)</f>
        <v>0</v>
      </c>
      <c r="T4" s="9">
        <f>IF(US!$W4&gt;DS!$W4,US!H4,DS!H4)</f>
        <v>0.52986626832442085</v>
      </c>
      <c r="U4" s="9">
        <f>IF(US!$W4&gt;DS!$W4,US!I4,DS!I4)</f>
        <v>11.124866268324421</v>
      </c>
      <c r="V4" s="9">
        <f>IF(US!$W4&gt;DS!$W4,US!J4,DS!J4)</f>
        <v>20</v>
      </c>
      <c r="W4" s="10">
        <f>IF(US!$W4&gt;DS!$W4,US!K4,DS!K4)</f>
        <v>1.4508717894715074E-2</v>
      </c>
      <c r="X4" s="9">
        <f>IF(US!$W4&gt;DS!$W4,US!L4,DS!L4)</f>
        <v>10</v>
      </c>
      <c r="Y4" s="9">
        <f>IF(US!$W4&gt;DS!$W4,US!M4,DS!M4)</f>
        <v>5.2986626832442081</v>
      </c>
      <c r="Z4" s="9">
        <f>IF(US!$W4&gt;DS!$W4,US!N4,DS!N4)</f>
        <v>11.059732536648841</v>
      </c>
      <c r="AA4" s="9">
        <f>IF(US!$W4&gt;DS!$W4,US!O4,DS!O4)</f>
        <v>0.47909501117553532</v>
      </c>
      <c r="AB4" s="9">
        <f>IF(US!$W4&gt;DS!$W4,US!P4,DS!P4)</f>
        <v>3.7745373116966592</v>
      </c>
      <c r="AC4" s="9">
        <f>IF(US!$W4&gt;DS!$W4,US!Q4,DS!Q4)</f>
        <v>2.2799096675663639</v>
      </c>
      <c r="AD4" s="5">
        <f>IF(US!$W4&gt;DS!$W4,US!R4,DS!R4)</f>
        <v>1.6555644135347258</v>
      </c>
      <c r="AE4" s="10">
        <f>IF(US!$W4&gt;DS!$W4,US!S4,DS!S4)</f>
        <v>11.851019780933505</v>
      </c>
      <c r="AF4" s="12">
        <f>IF(US!$W4&gt;DS!$W4,US!T4,DS!T4)</f>
        <v>7.999999999999903E-3</v>
      </c>
      <c r="AG4" s="13">
        <f>IF(US!$W4&gt;DS!$W4,US!U4,DS!U4)</f>
        <v>1.3524843034459364E-31</v>
      </c>
      <c r="AH4" s="5">
        <f>IF(US!$W4&gt;DS!$W4,US!V4,DS!V4)</f>
        <v>0.26493313416221043</v>
      </c>
      <c r="AI4" s="5">
        <f>IF(US!$W4&gt;DS!$W4,US!W4,DS!W4)</f>
        <v>89.261939000142888</v>
      </c>
      <c r="AJ4" s="8">
        <f t="shared" ref="AJ4:AJ32" si="6">$B$2*$B$3*AA4*AF4</f>
        <v>37.599376477055557</v>
      </c>
      <c r="AK4" s="5">
        <f t="shared" ref="AK4:AK32" si="7">AJ4/($B$2*$B$3*$F$6*$F$2)</f>
        <v>2.9036061283365422</v>
      </c>
      <c r="AL4" s="5">
        <f t="shared" ref="AL4:AL32" si="8">IF(AK4&gt;$F$4,IF(AK4&lt;0.18,2.15*EXP(-0.391/AK4),IF(AK4&gt;0.52,15*AK4^1.5,40*AK4^3)),0)</f>
        <v>74.216046480744708</v>
      </c>
      <c r="AM4" s="12">
        <f t="shared" ref="AM4:AM32" si="9">SQRT($B$3*$F$2*$F$6)*$F$2*AL4</f>
        <v>6.7563053914641126E-3</v>
      </c>
      <c r="AN4" s="5">
        <f t="shared" ref="AN4:AN32" si="10">SQRT(AJ4/$B$2)</f>
        <v>0.19390558650295653</v>
      </c>
      <c r="AO4" s="5">
        <f t="shared" ref="AO4:AO31" si="11">(N5-N4)/AN4</f>
        <v>25.785744960595881</v>
      </c>
      <c r="AP4" s="10">
        <v>10.935641297324029</v>
      </c>
      <c r="AQ4" s="10">
        <v>0.5276219982039696</v>
      </c>
      <c r="AR4" s="10">
        <f t="shared" ref="AR4:AR32" si="12">Hs(V4,AQ4,Q4,AF4,$F$2,$F$11,$B$3,$F$6)</f>
        <v>0.29221921703230302</v>
      </c>
      <c r="AS4" s="13">
        <f t="shared" ref="AS4:AS32" si="13">(AQ4-AR4)^2</f>
        <v>5.5414469383355543E-2</v>
      </c>
      <c r="AT4" s="10">
        <f t="shared" ref="AT4:AT32" si="14">(V4/Q4)/((8.32*(AQ4/$F$12)^(1/6))*SQRT($B$3*AQ4*AF4))</f>
        <v>0.70579804258075718</v>
      </c>
      <c r="AU4" s="10">
        <f t="shared" ref="AU4:AU32" si="15">(1/V4)*Q4*(AT4^(5/3))*SQRT(AF4)</f>
        <v>2.5021638603463809E-2</v>
      </c>
      <c r="AV4" s="11">
        <f t="shared" ref="AV4:AV32" si="16">AN4*BC4*BD4*T4/0.4</f>
        <v>1.3740259549962145E-2</v>
      </c>
      <c r="AW4" s="25">
        <f>AM4+'Grid-BC'!L28</f>
        <v>6.7563053914641126E-3</v>
      </c>
      <c r="AX4" s="10">
        <f t="shared" ref="AX4:AX32" si="17">Find_TauMIN(AD4)</f>
        <v>0.91360072498723155</v>
      </c>
      <c r="AY4" s="23">
        <f t="shared" ref="AY4:AY32" si="18">IF(AX4&gt;T4*AF4/($F$6*$F$2),T4,($F$6*$F$2*(0.05+0.7*((T4*AF4/($F$6*$F$2))*(V4/Q4/(SQRT($B$3)*T4^(3/2)))^0.7)^0.8)/AF4))</f>
        <v>0.39777707834082277</v>
      </c>
      <c r="AZ4" s="9">
        <f t="shared" ref="AZ4:AZ32" si="19">AB4/AN4</f>
        <v>19.465851292732651</v>
      </c>
      <c r="BA4" s="9">
        <f t="shared" ref="BA4:BA32" si="20">11*T4/(EXP(0.4*AZ4))</f>
        <v>2.4209969217981043E-3</v>
      </c>
      <c r="BB4" s="5">
        <f t="shared" ref="BB4:BB32" si="21">(SQRT($B$3*AY4*AF4)/($F$10*$F$9))*($F$8^0.6)*(AF4^0.07)</f>
        <v>13.941511724480984</v>
      </c>
      <c r="BC4" s="12">
        <f t="shared" ref="BC4:BC32" si="22">(0.00000057)*(BB4^5)/((1+((0.00000057)/0.3)*BB4^5))</f>
        <v>0.15005231631499538</v>
      </c>
      <c r="BD4" s="28">
        <f t="shared" ref="BD4:BD32" si="23">Rouse(T4,$F$10,AN4,BA4)</f>
        <v>0.35649679484005903</v>
      </c>
    </row>
    <row r="5" spans="1:56" ht="17.25" thickTop="1" thickBot="1" x14ac:dyDescent="0.35">
      <c r="E5" t="s">
        <v>46</v>
      </c>
      <c r="F5" s="33">
        <f>'Grid-BC'!F19</f>
        <v>0.42044494411372973</v>
      </c>
      <c r="G5" t="s">
        <v>48</v>
      </c>
      <c r="M5" s="8">
        <f>IF(US!$W5&gt;DS!$W5,US!A5,DS!A5)</f>
        <v>3</v>
      </c>
      <c r="N5" s="14">
        <f>IF(US!$W5&gt;DS!$W5,US!B5,DS!B5)</f>
        <v>110</v>
      </c>
      <c r="O5" s="14">
        <f>IF(US!$W5&gt;DS!$W5,US!C5,DS!C5)</f>
        <v>10.555000000000001</v>
      </c>
      <c r="P5" s="10">
        <f>IF(US!$W5&gt;DS!$W5,US!D5,DS!D5)</f>
        <v>10.455000000000002</v>
      </c>
      <c r="Q5" s="8">
        <f>IF(US!$W5&gt;DS!$W5,US!E5,DS!E5)</f>
        <v>10</v>
      </c>
      <c r="R5" s="20">
        <f>IF(US!$W5&gt;DS!$W5,US!F5,DS!F5)</f>
        <v>0</v>
      </c>
      <c r="S5" s="20">
        <f>IF(US!$W5&gt;DS!$W5,US!G5,DS!G5)</f>
        <v>0</v>
      </c>
      <c r="T5" s="9">
        <f>IF(US!$W5&gt;DS!$W5,US!H5,DS!H5)</f>
        <v>0.52986626832442085</v>
      </c>
      <c r="U5" s="9">
        <f>IF(US!$W5&gt;DS!$W5,US!I5,DS!I5)</f>
        <v>11.084866268324422</v>
      </c>
      <c r="V5" s="9">
        <f>IF(US!$W5&gt;DS!$W5,US!J5,DS!J5)</f>
        <v>20</v>
      </c>
      <c r="W5" s="10">
        <f>IF(US!$W5&gt;DS!$W5,US!K5,DS!K5)</f>
        <v>1.4508717894715074E-2</v>
      </c>
      <c r="X5" s="9">
        <f>IF(US!$W5&gt;DS!$W5,US!L5,DS!L5)</f>
        <v>10</v>
      </c>
      <c r="Y5" s="9">
        <f>IF(US!$W5&gt;DS!$W5,US!M5,DS!M5)</f>
        <v>5.2986626832442081</v>
      </c>
      <c r="Z5" s="9">
        <f>IF(US!$W5&gt;DS!$W5,US!N5,DS!N5)</f>
        <v>11.059732536648841</v>
      </c>
      <c r="AA5" s="9">
        <f>IF(US!$W5&gt;DS!$W5,US!O5,DS!O5)</f>
        <v>0.47909501117553532</v>
      </c>
      <c r="AB5" s="9">
        <f>IF(US!$W5&gt;DS!$W5,US!P5,DS!P5)</f>
        <v>3.7745373116966592</v>
      </c>
      <c r="AC5" s="9">
        <f>IF(US!$W5&gt;DS!$W5,US!Q5,DS!Q5)</f>
        <v>2.2799096675663639</v>
      </c>
      <c r="AD5" s="5">
        <f>IF(US!$W5&gt;DS!$W5,US!R5,DS!R5)</f>
        <v>1.6555644135347258</v>
      </c>
      <c r="AE5" s="10">
        <f>IF(US!$W5&gt;DS!$W5,US!S5,DS!S5)</f>
        <v>11.811019780933506</v>
      </c>
      <c r="AF5" s="12">
        <f>IF(US!$W5&gt;DS!$W5,US!T5,DS!T5)</f>
        <v>7.999999999999903E-3</v>
      </c>
      <c r="AG5" s="13">
        <f>IF(US!$W5&gt;DS!$W5,US!U5,DS!U5)</f>
        <v>1.3524843034459364E-31</v>
      </c>
      <c r="AH5" s="5">
        <f>IF(US!$W5&gt;DS!$W5,US!V5,DS!V5)</f>
        <v>0.26493313416221043</v>
      </c>
      <c r="AI5" s="5">
        <f>IF(US!$W5&gt;DS!$W5,US!W5,DS!W5)</f>
        <v>89.261939000142888</v>
      </c>
      <c r="AJ5" s="8">
        <f t="shared" si="6"/>
        <v>37.599376477055557</v>
      </c>
      <c r="AK5" s="5">
        <f t="shared" si="7"/>
        <v>2.9036061283365422</v>
      </c>
      <c r="AL5" s="5">
        <f t="shared" si="8"/>
        <v>74.216046480744708</v>
      </c>
      <c r="AM5" s="12">
        <f t="shared" si="9"/>
        <v>6.7563053914641126E-3</v>
      </c>
      <c r="AN5" s="5">
        <f t="shared" si="10"/>
        <v>0.19390558650295653</v>
      </c>
      <c r="AO5" s="5">
        <f t="shared" si="11"/>
        <v>25.785744960595881</v>
      </c>
      <c r="AP5" s="10">
        <v>10.935641297324029</v>
      </c>
      <c r="AQ5" s="10">
        <v>0.5276219982039696</v>
      </c>
      <c r="AR5" s="10">
        <f t="shared" si="12"/>
        <v>0.29221921703230302</v>
      </c>
      <c r="AS5" s="13">
        <f t="shared" si="13"/>
        <v>5.5414469383355543E-2</v>
      </c>
      <c r="AT5" s="10">
        <f t="shared" si="14"/>
        <v>0.70579804258075718</v>
      </c>
      <c r="AU5" s="10">
        <f t="shared" si="15"/>
        <v>2.5021638603463809E-2</v>
      </c>
      <c r="AV5" s="11">
        <f t="shared" si="16"/>
        <v>1.3740259549962145E-2</v>
      </c>
      <c r="AW5" s="25">
        <f>AM5+'Grid-BC'!L29</f>
        <v>6.7563053914641126E-3</v>
      </c>
      <c r="AX5" s="10">
        <f t="shared" si="17"/>
        <v>0.91360072498723155</v>
      </c>
      <c r="AY5" s="23">
        <f t="shared" si="18"/>
        <v>0.39777707834082277</v>
      </c>
      <c r="AZ5" s="9">
        <f t="shared" si="19"/>
        <v>19.465851292732651</v>
      </c>
      <c r="BA5" s="9">
        <f t="shared" si="20"/>
        <v>2.4209969217981043E-3</v>
      </c>
      <c r="BB5" s="5">
        <f t="shared" si="21"/>
        <v>13.941511724480984</v>
      </c>
      <c r="BC5" s="12">
        <f t="shared" si="22"/>
        <v>0.15005231631499538</v>
      </c>
      <c r="BD5" s="28">
        <f t="shared" si="23"/>
        <v>0.35649679484005903</v>
      </c>
    </row>
    <row r="6" spans="1:56" ht="14.25" thickTop="1" thickBot="1" x14ac:dyDescent="0.25">
      <c r="A6" t="s">
        <v>70</v>
      </c>
      <c r="B6" s="40">
        <f>MIN(AO3:AO32)</f>
        <v>25.785744960595881</v>
      </c>
      <c r="C6" t="s">
        <v>60</v>
      </c>
      <c r="E6" t="s">
        <v>27</v>
      </c>
      <c r="F6" s="34">
        <f>'Grid-BC'!F20</f>
        <v>1.65</v>
      </c>
      <c r="M6" s="8">
        <f>IF(US!$W6&gt;DS!$W6,US!A6,DS!A6)</f>
        <v>4</v>
      </c>
      <c r="N6" s="14">
        <f>IF(US!$W6&gt;DS!$W6,US!B6,DS!B6)</f>
        <v>115</v>
      </c>
      <c r="O6" s="14">
        <f>IF(US!$W6&gt;DS!$W6,US!C6,DS!C6)</f>
        <v>10.515000000000002</v>
      </c>
      <c r="P6" s="10">
        <f>IF(US!$W6&gt;DS!$W6,US!D6,DS!D6)</f>
        <v>10.415000000000003</v>
      </c>
      <c r="Q6" s="8">
        <f>IF(US!$W6&gt;DS!$W6,US!E6,DS!E6)</f>
        <v>10</v>
      </c>
      <c r="R6" s="20">
        <f>IF(US!$W6&gt;DS!$W6,US!F6,DS!F6)</f>
        <v>0</v>
      </c>
      <c r="S6" s="20">
        <f>IF(US!$W6&gt;DS!$W6,US!G6,DS!G6)</f>
        <v>0</v>
      </c>
      <c r="T6" s="9">
        <f>IF(US!$W6&gt;DS!$W6,US!H6,DS!H6)</f>
        <v>0.52986626832442085</v>
      </c>
      <c r="U6" s="9">
        <f>IF(US!$W6&gt;DS!$W6,US!I6,DS!I6)</f>
        <v>11.044866268324423</v>
      </c>
      <c r="V6" s="9">
        <f>IF(US!$W6&gt;DS!$W6,US!J6,DS!J6)</f>
        <v>20</v>
      </c>
      <c r="W6" s="10">
        <f>IF(US!$W6&gt;DS!$W6,US!K6,DS!K6)</f>
        <v>1.4508717894715074E-2</v>
      </c>
      <c r="X6" s="9">
        <f>IF(US!$W6&gt;DS!$W6,US!L6,DS!L6)</f>
        <v>10</v>
      </c>
      <c r="Y6" s="9">
        <f>IF(US!$W6&gt;DS!$W6,US!M6,DS!M6)</f>
        <v>5.2986626832442081</v>
      </c>
      <c r="Z6" s="9">
        <f>IF(US!$W6&gt;DS!$W6,US!N6,DS!N6)</f>
        <v>11.059732536648841</v>
      </c>
      <c r="AA6" s="9">
        <f>IF(US!$W6&gt;DS!$W6,US!O6,DS!O6)</f>
        <v>0.47909501117553532</v>
      </c>
      <c r="AB6" s="9">
        <f>IF(US!$W6&gt;DS!$W6,US!P6,DS!P6)</f>
        <v>3.7745373116966592</v>
      </c>
      <c r="AC6" s="9">
        <f>IF(US!$W6&gt;DS!$W6,US!Q6,DS!Q6)</f>
        <v>2.2799096675663639</v>
      </c>
      <c r="AD6" s="5">
        <f>IF(US!$W6&gt;DS!$W6,US!R6,DS!R6)</f>
        <v>1.6555644135347258</v>
      </c>
      <c r="AE6" s="10">
        <f>IF(US!$W6&gt;DS!$W6,US!S6,DS!S6)</f>
        <v>11.771019780933507</v>
      </c>
      <c r="AF6" s="12">
        <f>IF(US!$W6&gt;DS!$W6,US!T6,DS!T6)</f>
        <v>7.999999999999903E-3</v>
      </c>
      <c r="AG6" s="13">
        <f>IF(US!$W6&gt;DS!$W6,US!U6,DS!U6)</f>
        <v>1.3524843034459364E-31</v>
      </c>
      <c r="AH6" s="5">
        <f>IF(US!$W6&gt;DS!$W6,US!V6,DS!V6)</f>
        <v>0.26493313416221043</v>
      </c>
      <c r="AI6" s="5">
        <f>IF(US!$W6&gt;DS!$W6,US!W6,DS!W6)</f>
        <v>89.261939000142888</v>
      </c>
      <c r="AJ6" s="8">
        <f t="shared" si="6"/>
        <v>37.599376477055557</v>
      </c>
      <c r="AK6" s="5">
        <f t="shared" si="7"/>
        <v>2.9036061283365422</v>
      </c>
      <c r="AL6" s="5">
        <f t="shared" si="8"/>
        <v>74.216046480744708</v>
      </c>
      <c r="AM6" s="12">
        <f t="shared" si="9"/>
        <v>6.7563053914641126E-3</v>
      </c>
      <c r="AN6" s="5">
        <f t="shared" si="10"/>
        <v>0.19390558650295653</v>
      </c>
      <c r="AO6" s="5">
        <f t="shared" si="11"/>
        <v>25.785744960595881</v>
      </c>
      <c r="AP6" s="10">
        <v>10.935641297324029</v>
      </c>
      <c r="AQ6" s="10">
        <v>0.5276219982039696</v>
      </c>
      <c r="AR6" s="10">
        <f t="shared" si="12"/>
        <v>0.29221921703230302</v>
      </c>
      <c r="AS6" s="13">
        <f t="shared" si="13"/>
        <v>5.5414469383355543E-2</v>
      </c>
      <c r="AT6" s="10">
        <f t="shared" si="14"/>
        <v>0.70579804258075718</v>
      </c>
      <c r="AU6" s="10">
        <f t="shared" si="15"/>
        <v>2.5021638603463809E-2</v>
      </c>
      <c r="AV6" s="11">
        <f t="shared" si="16"/>
        <v>1.3740259549962145E-2</v>
      </c>
      <c r="AW6" s="25">
        <f>AM6+'Grid-BC'!L30</f>
        <v>6.7563053914641126E-3</v>
      </c>
      <c r="AX6" s="10">
        <f t="shared" si="17"/>
        <v>0.91360072498723155</v>
      </c>
      <c r="AY6" s="23">
        <f t="shared" si="18"/>
        <v>0.39777707834082277</v>
      </c>
      <c r="AZ6" s="9">
        <f t="shared" si="19"/>
        <v>19.465851292732651</v>
      </c>
      <c r="BA6" s="9">
        <f t="shared" si="20"/>
        <v>2.4209969217981043E-3</v>
      </c>
      <c r="BB6" s="5">
        <f t="shared" si="21"/>
        <v>13.941511724480984</v>
      </c>
      <c r="BC6" s="12">
        <f t="shared" si="22"/>
        <v>0.15005231631499538</v>
      </c>
      <c r="BD6" s="28">
        <f t="shared" si="23"/>
        <v>0.35649679484005903</v>
      </c>
    </row>
    <row r="7" spans="1:56" ht="14.25" thickTop="1" thickBot="1" x14ac:dyDescent="0.25">
      <c r="A7" s="21"/>
      <c r="E7" s="3" t="s">
        <v>65</v>
      </c>
      <c r="F7" s="34">
        <f>'Grid-BC'!F22</f>
        <v>0.4</v>
      </c>
      <c r="M7" s="8">
        <f>IF(US!$W7&gt;DS!$W7,US!A7,DS!A7)</f>
        <v>5</v>
      </c>
      <c r="N7" s="14">
        <f>IF(US!$W7&gt;DS!$W7,US!B7,DS!B7)</f>
        <v>120</v>
      </c>
      <c r="O7" s="14">
        <f>IF(US!$W7&gt;DS!$W7,US!C7,DS!C7)</f>
        <v>10.475000000000003</v>
      </c>
      <c r="P7" s="10">
        <f>IF(US!$W7&gt;DS!$W7,US!D7,DS!D7)</f>
        <v>10.375000000000004</v>
      </c>
      <c r="Q7" s="8">
        <f>IF(US!$W7&gt;DS!$W7,US!E7,DS!E7)</f>
        <v>10</v>
      </c>
      <c r="R7" s="20">
        <f>IF(US!$W7&gt;DS!$W7,US!F7,DS!F7)</f>
        <v>0</v>
      </c>
      <c r="S7" s="20">
        <f>IF(US!$W7&gt;DS!$W7,US!G7,DS!G7)</f>
        <v>0</v>
      </c>
      <c r="T7" s="9">
        <f>IF(US!$W7&gt;DS!$W7,US!H7,DS!H7)</f>
        <v>0.52986626832442085</v>
      </c>
      <c r="U7" s="9">
        <f>IF(US!$W7&gt;DS!$W7,US!I7,DS!I7)</f>
        <v>11.004866268324424</v>
      </c>
      <c r="V7" s="9">
        <f>IF(US!$W7&gt;DS!$W7,US!J7,DS!J7)</f>
        <v>20</v>
      </c>
      <c r="W7" s="10">
        <f>IF(US!$W7&gt;DS!$W7,US!K7,DS!K7)</f>
        <v>1.4508717894715074E-2</v>
      </c>
      <c r="X7" s="9">
        <f>IF(US!$W7&gt;DS!$W7,US!L7,DS!L7)</f>
        <v>10</v>
      </c>
      <c r="Y7" s="9">
        <f>IF(US!$W7&gt;DS!$W7,US!M7,DS!M7)</f>
        <v>5.2986626832442081</v>
      </c>
      <c r="Z7" s="9">
        <f>IF(US!$W7&gt;DS!$W7,US!N7,DS!N7)</f>
        <v>11.059732536648841</v>
      </c>
      <c r="AA7" s="9">
        <f>IF(US!$W7&gt;DS!$W7,US!O7,DS!O7)</f>
        <v>0.47909501117553532</v>
      </c>
      <c r="AB7" s="9">
        <f>IF(US!$W7&gt;DS!$W7,US!P7,DS!P7)</f>
        <v>3.7745373116966592</v>
      </c>
      <c r="AC7" s="9">
        <f>IF(US!$W7&gt;DS!$W7,US!Q7,DS!Q7)</f>
        <v>2.2799096675663639</v>
      </c>
      <c r="AD7" s="5">
        <f>IF(US!$W7&gt;DS!$W7,US!R7,DS!R7)</f>
        <v>1.6555644135347258</v>
      </c>
      <c r="AE7" s="10">
        <f>IF(US!$W7&gt;DS!$W7,US!S7,DS!S7)</f>
        <v>11.731019780933508</v>
      </c>
      <c r="AF7" s="12">
        <f>IF(US!$W7&gt;DS!$W7,US!T7,DS!T7)</f>
        <v>7.999999999999903E-3</v>
      </c>
      <c r="AG7" s="13">
        <f>IF(US!$W7&gt;DS!$W7,US!U7,DS!U7)</f>
        <v>1.3524843034459364E-31</v>
      </c>
      <c r="AH7" s="5">
        <f>IF(US!$W7&gt;DS!$W7,US!V7,DS!V7)</f>
        <v>0.26493313416221043</v>
      </c>
      <c r="AI7" s="5">
        <f>IF(US!$W7&gt;DS!$W7,US!W7,DS!W7)</f>
        <v>89.261939000142888</v>
      </c>
      <c r="AJ7" s="8">
        <f t="shared" si="6"/>
        <v>37.599376477055557</v>
      </c>
      <c r="AK7" s="5">
        <f t="shared" si="7"/>
        <v>2.9036061283365422</v>
      </c>
      <c r="AL7" s="5">
        <f t="shared" si="8"/>
        <v>74.216046480744708</v>
      </c>
      <c r="AM7" s="12">
        <f t="shared" si="9"/>
        <v>6.7563053914641126E-3</v>
      </c>
      <c r="AN7" s="5">
        <f t="shared" si="10"/>
        <v>0.19390558650295653</v>
      </c>
      <c r="AO7" s="5">
        <f t="shared" si="11"/>
        <v>25.785744960595881</v>
      </c>
      <c r="AP7" s="10">
        <v>10.935641297324029</v>
      </c>
      <c r="AQ7" s="10">
        <v>0.5276219982039696</v>
      </c>
      <c r="AR7" s="10">
        <f t="shared" si="12"/>
        <v>0.29221921703230302</v>
      </c>
      <c r="AS7" s="13">
        <f t="shared" si="13"/>
        <v>5.5414469383355543E-2</v>
      </c>
      <c r="AT7" s="10">
        <f t="shared" si="14"/>
        <v>0.70579804258075718</v>
      </c>
      <c r="AU7" s="10">
        <f t="shared" si="15"/>
        <v>2.5021638603463809E-2</v>
      </c>
      <c r="AV7" s="11">
        <f t="shared" si="16"/>
        <v>1.3740259549962145E-2</v>
      </c>
      <c r="AW7" s="25">
        <f>AM7+'Grid-BC'!L31</f>
        <v>6.7563053914641126E-3</v>
      </c>
      <c r="AX7" s="10">
        <f t="shared" si="17"/>
        <v>0.91360072498723155</v>
      </c>
      <c r="AY7" s="23">
        <f t="shared" si="18"/>
        <v>0.39777707834082277</v>
      </c>
      <c r="AZ7" s="9">
        <f t="shared" si="19"/>
        <v>19.465851292732651</v>
      </c>
      <c r="BA7" s="9">
        <f t="shared" si="20"/>
        <v>2.4209969217981043E-3</v>
      </c>
      <c r="BB7" s="5">
        <f t="shared" si="21"/>
        <v>13.941511724480984</v>
      </c>
      <c r="BC7" s="12">
        <f t="shared" si="22"/>
        <v>0.15005231631499538</v>
      </c>
      <c r="BD7" s="28">
        <f t="shared" si="23"/>
        <v>0.35649679484005903</v>
      </c>
    </row>
    <row r="8" spans="1:56" ht="14.25" thickTop="1" thickBot="1" x14ac:dyDescent="0.25">
      <c r="B8" s="4"/>
      <c r="E8" t="s">
        <v>77</v>
      </c>
      <c r="F8" s="33">
        <f>'Grid-BC'!F17</f>
        <v>91.035641371937416</v>
      </c>
      <c r="M8" s="8">
        <f>IF(US!$W8&gt;DS!$W8,US!A8,DS!A8)</f>
        <v>6</v>
      </c>
      <c r="N8" s="14">
        <f>IF(US!$W8&gt;DS!$W8,US!B8,DS!B8)</f>
        <v>125</v>
      </c>
      <c r="O8" s="14">
        <f>IF(US!$W8&gt;DS!$W8,US!C8,DS!C8)</f>
        <v>10.435000000000004</v>
      </c>
      <c r="P8" s="10">
        <f>IF(US!$W8&gt;DS!$W8,US!D8,DS!D8)</f>
        <v>10.335000000000004</v>
      </c>
      <c r="Q8" s="8">
        <f>IF(US!$W8&gt;DS!$W8,US!E8,DS!E8)</f>
        <v>10</v>
      </c>
      <c r="R8" s="20">
        <f>IF(US!$W8&gt;DS!$W8,US!F8,DS!F8)</f>
        <v>0</v>
      </c>
      <c r="S8" s="20">
        <f>IF(US!$W8&gt;DS!$W8,US!G8,DS!G8)</f>
        <v>0</v>
      </c>
      <c r="T8" s="9">
        <f>IF(US!$W8&gt;DS!$W8,US!H8,DS!H8)</f>
        <v>0.52986626832442085</v>
      </c>
      <c r="U8" s="9">
        <f>IF(US!$W8&gt;DS!$W8,US!I8,DS!I8)</f>
        <v>10.964866268324425</v>
      </c>
      <c r="V8" s="9">
        <f>IF(US!$W8&gt;DS!$W8,US!J8,DS!J8)</f>
        <v>20</v>
      </c>
      <c r="W8" s="10">
        <f>IF(US!$W8&gt;DS!$W8,US!K8,DS!K8)</f>
        <v>1.4508717894715074E-2</v>
      </c>
      <c r="X8" s="9">
        <f>IF(US!$W8&gt;DS!$W8,US!L8,DS!L8)</f>
        <v>10</v>
      </c>
      <c r="Y8" s="9">
        <f>IF(US!$W8&gt;DS!$W8,US!M8,DS!M8)</f>
        <v>5.2986626832442081</v>
      </c>
      <c r="Z8" s="9">
        <f>IF(US!$W8&gt;DS!$W8,US!N8,DS!N8)</f>
        <v>11.059732536648841</v>
      </c>
      <c r="AA8" s="9">
        <f>IF(US!$W8&gt;DS!$W8,US!O8,DS!O8)</f>
        <v>0.47909501117553532</v>
      </c>
      <c r="AB8" s="9">
        <f>IF(US!$W8&gt;DS!$W8,US!P8,DS!P8)</f>
        <v>3.7745373116966592</v>
      </c>
      <c r="AC8" s="9">
        <f>IF(US!$W8&gt;DS!$W8,US!Q8,DS!Q8)</f>
        <v>2.2799096675663639</v>
      </c>
      <c r="AD8" s="5">
        <f>IF(US!$W8&gt;DS!$W8,US!R8,DS!R8)</f>
        <v>1.6555644135347258</v>
      </c>
      <c r="AE8" s="10">
        <f>IF(US!$W8&gt;DS!$W8,US!S8,DS!S8)</f>
        <v>11.691019780933509</v>
      </c>
      <c r="AF8" s="12">
        <f>IF(US!$W8&gt;DS!$W8,US!T8,DS!T8)</f>
        <v>7.999999999999903E-3</v>
      </c>
      <c r="AG8" s="13">
        <f>IF(US!$W8&gt;DS!$W8,US!U8,DS!U8)</f>
        <v>1.3524843034459364E-31</v>
      </c>
      <c r="AH8" s="5">
        <f>IF(US!$W8&gt;DS!$W8,US!V8,DS!V8)</f>
        <v>0.26493313416221043</v>
      </c>
      <c r="AI8" s="5">
        <f>IF(US!$W8&gt;DS!$W8,US!W8,DS!W8)</f>
        <v>89.261939000142888</v>
      </c>
      <c r="AJ8" s="8">
        <f t="shared" si="6"/>
        <v>37.599376477055557</v>
      </c>
      <c r="AK8" s="5">
        <f t="shared" si="7"/>
        <v>2.9036061283365422</v>
      </c>
      <c r="AL8" s="5">
        <f t="shared" si="8"/>
        <v>74.216046480744708</v>
      </c>
      <c r="AM8" s="12">
        <f t="shared" si="9"/>
        <v>6.7563053914641126E-3</v>
      </c>
      <c r="AN8" s="5">
        <f t="shared" si="10"/>
        <v>0.19390558650295653</v>
      </c>
      <c r="AO8" s="5">
        <f t="shared" si="11"/>
        <v>25.785744960595881</v>
      </c>
      <c r="AP8" s="10">
        <v>10.935641297324029</v>
      </c>
      <c r="AQ8" s="10">
        <v>0.5276219982039696</v>
      </c>
      <c r="AR8" s="10">
        <f t="shared" si="12"/>
        <v>0.29221921703230302</v>
      </c>
      <c r="AS8" s="13">
        <f t="shared" si="13"/>
        <v>5.5414469383355543E-2</v>
      </c>
      <c r="AT8" s="10">
        <f t="shared" si="14"/>
        <v>0.70579804258075718</v>
      </c>
      <c r="AU8" s="10">
        <f t="shared" si="15"/>
        <v>2.5021638603463809E-2</v>
      </c>
      <c r="AV8" s="11">
        <f t="shared" si="16"/>
        <v>1.3740259549962145E-2</v>
      </c>
      <c r="AW8" s="25">
        <f>AM8+'Grid-BC'!L32</f>
        <v>6.7563053914641126E-3</v>
      </c>
      <c r="AX8" s="10">
        <f t="shared" si="17"/>
        <v>0.91360072498723155</v>
      </c>
      <c r="AY8" s="23">
        <f t="shared" si="18"/>
        <v>0.39777707834082277</v>
      </c>
      <c r="AZ8" s="9">
        <f t="shared" si="19"/>
        <v>19.465851292732651</v>
      </c>
      <c r="BA8" s="9">
        <f t="shared" si="20"/>
        <v>2.4209969217981043E-3</v>
      </c>
      <c r="BB8" s="5">
        <f t="shared" si="21"/>
        <v>13.941511724480984</v>
      </c>
      <c r="BC8" s="12">
        <f t="shared" si="22"/>
        <v>0.15005231631499538</v>
      </c>
      <c r="BD8" s="28">
        <f t="shared" si="23"/>
        <v>0.35649679484005903</v>
      </c>
    </row>
    <row r="9" spans="1:56" ht="16.5" thickTop="1" x14ac:dyDescent="0.3">
      <c r="E9" t="s">
        <v>86</v>
      </c>
      <c r="F9" s="40">
        <f>EXP(-2.891394+0.95296*LN(F8)-0.056835*(LN(F8))^2-0.002892*(LN(F8))^3+0.000245*(LN(F8))^4)</f>
        <v>1.0908263108110916</v>
      </c>
      <c r="M9" s="8">
        <f>IF(US!$W9&gt;DS!$W9,US!A9,DS!A9)</f>
        <v>7</v>
      </c>
      <c r="N9" s="14">
        <f>IF(US!$W9&gt;DS!$W9,US!B9,DS!B9)</f>
        <v>130</v>
      </c>
      <c r="O9" s="14">
        <f>IF(US!$W9&gt;DS!$W9,US!C9,DS!C9)</f>
        <v>10.395000000000005</v>
      </c>
      <c r="P9" s="10">
        <f>IF(US!$W9&gt;DS!$W9,US!D9,DS!D9)</f>
        <v>10.295000000000005</v>
      </c>
      <c r="Q9" s="8">
        <f>IF(US!$W9&gt;DS!$W9,US!E9,DS!E9)</f>
        <v>10</v>
      </c>
      <c r="R9" s="20">
        <f>IF(US!$W9&gt;DS!$W9,US!F9,DS!F9)</f>
        <v>0</v>
      </c>
      <c r="S9" s="20">
        <f>IF(US!$W9&gt;DS!$W9,US!G9,DS!G9)</f>
        <v>0</v>
      </c>
      <c r="T9" s="9">
        <f>IF(US!$W9&gt;DS!$W9,US!H9,DS!H9)</f>
        <v>0.52986626832442085</v>
      </c>
      <c r="U9" s="9">
        <f>IF(US!$W9&gt;DS!$W9,US!I9,DS!I9)</f>
        <v>10.924866268324426</v>
      </c>
      <c r="V9" s="9">
        <f>IF(US!$W9&gt;DS!$W9,US!J9,DS!J9)</f>
        <v>20</v>
      </c>
      <c r="W9" s="10">
        <f>IF(US!$W9&gt;DS!$W9,US!K9,DS!K9)</f>
        <v>1.4508717894715074E-2</v>
      </c>
      <c r="X9" s="9">
        <f>IF(US!$W9&gt;DS!$W9,US!L9,DS!L9)</f>
        <v>10</v>
      </c>
      <c r="Y9" s="9">
        <f>IF(US!$W9&gt;DS!$W9,US!M9,DS!M9)</f>
        <v>5.2986626832442081</v>
      </c>
      <c r="Z9" s="9">
        <f>IF(US!$W9&gt;DS!$W9,US!N9,DS!N9)</f>
        <v>11.059732536648841</v>
      </c>
      <c r="AA9" s="9">
        <f>IF(US!$W9&gt;DS!$W9,US!O9,DS!O9)</f>
        <v>0.47909501117553532</v>
      </c>
      <c r="AB9" s="9">
        <f>IF(US!$W9&gt;DS!$W9,US!P9,DS!P9)</f>
        <v>3.7745373116966592</v>
      </c>
      <c r="AC9" s="9">
        <f>IF(US!$W9&gt;DS!$W9,US!Q9,DS!Q9)</f>
        <v>2.2799096675663639</v>
      </c>
      <c r="AD9" s="5">
        <f>IF(US!$W9&gt;DS!$W9,US!R9,DS!R9)</f>
        <v>1.6555644135347258</v>
      </c>
      <c r="AE9" s="10">
        <f>IF(US!$W9&gt;DS!$W9,US!S9,DS!S9)</f>
        <v>11.65101978093351</v>
      </c>
      <c r="AF9" s="12">
        <f>IF(US!$W9&gt;DS!$W9,US!T9,DS!T9)</f>
        <v>7.999999999999903E-3</v>
      </c>
      <c r="AG9" s="13">
        <f>IF(US!$W9&gt;DS!$W9,US!U9,DS!U9)</f>
        <v>1.3524843034459364E-31</v>
      </c>
      <c r="AH9" s="5">
        <f>IF(US!$W9&gt;DS!$W9,US!V9,DS!V9)</f>
        <v>0.26493313416221043</v>
      </c>
      <c r="AI9" s="5">
        <f>IF(US!$W9&gt;DS!$W9,US!W9,DS!W9)</f>
        <v>89.261939000142888</v>
      </c>
      <c r="AJ9" s="8">
        <f t="shared" si="6"/>
        <v>37.599376477055557</v>
      </c>
      <c r="AK9" s="5">
        <f t="shared" si="7"/>
        <v>2.9036061283365422</v>
      </c>
      <c r="AL9" s="5">
        <f t="shared" si="8"/>
        <v>74.216046480744708</v>
      </c>
      <c r="AM9" s="12">
        <f t="shared" si="9"/>
        <v>6.7563053914641126E-3</v>
      </c>
      <c r="AN9" s="5">
        <f t="shared" si="10"/>
        <v>0.19390558650295653</v>
      </c>
      <c r="AO9" s="5">
        <f t="shared" si="11"/>
        <v>25.785744960595881</v>
      </c>
      <c r="AP9" s="10">
        <v>10.935641297324029</v>
      </c>
      <c r="AQ9" s="10">
        <v>0.5276219982039696</v>
      </c>
      <c r="AR9" s="10">
        <f t="shared" si="12"/>
        <v>0.29221921703230302</v>
      </c>
      <c r="AS9" s="13">
        <f t="shared" si="13"/>
        <v>5.5414469383355543E-2</v>
      </c>
      <c r="AT9" s="10">
        <f t="shared" si="14"/>
        <v>0.70579804258075718</v>
      </c>
      <c r="AU9" s="10">
        <f t="shared" si="15"/>
        <v>2.5021638603463809E-2</v>
      </c>
      <c r="AV9" s="11">
        <f t="shared" si="16"/>
        <v>1.3740259549962145E-2</v>
      </c>
      <c r="AW9" s="25">
        <f>AM9+'Grid-BC'!L33</f>
        <v>6.7563053914641126E-3</v>
      </c>
      <c r="AX9" s="10">
        <f t="shared" si="17"/>
        <v>0.91360072498723155</v>
      </c>
      <c r="AY9" s="23">
        <f t="shared" si="18"/>
        <v>0.39777707834082277</v>
      </c>
      <c r="AZ9" s="9">
        <f t="shared" si="19"/>
        <v>19.465851292732651</v>
      </c>
      <c r="BA9" s="9">
        <f t="shared" si="20"/>
        <v>2.4209969217981043E-3</v>
      </c>
      <c r="BB9" s="5">
        <f t="shared" si="21"/>
        <v>13.941511724480984</v>
      </c>
      <c r="BC9" s="12">
        <f t="shared" si="22"/>
        <v>0.15005231631499538</v>
      </c>
      <c r="BD9" s="28">
        <f t="shared" si="23"/>
        <v>0.35649679484005903</v>
      </c>
    </row>
    <row r="10" spans="1:56" ht="15.75" x14ac:dyDescent="0.3">
      <c r="E10" t="s">
        <v>87</v>
      </c>
      <c r="F10" s="39">
        <f>F9*SQRT(B3*F2*F6)</f>
        <v>0.12413009103759007</v>
      </c>
      <c r="M10" s="8">
        <f>IF(US!$W10&gt;DS!$W10,US!A10,DS!A10)</f>
        <v>8</v>
      </c>
      <c r="N10" s="14">
        <f>IF(US!$W10&gt;DS!$W10,US!B10,DS!B10)</f>
        <v>135</v>
      </c>
      <c r="O10" s="14">
        <f>IF(US!$W10&gt;DS!$W10,US!C10,DS!C10)</f>
        <v>10.355000000000006</v>
      </c>
      <c r="P10" s="10">
        <f>IF(US!$W10&gt;DS!$W10,US!D10,DS!D10)</f>
        <v>10.255000000000006</v>
      </c>
      <c r="Q10" s="8">
        <f>IF(US!$W10&gt;DS!$W10,US!E10,DS!E10)</f>
        <v>10</v>
      </c>
      <c r="R10" s="20">
        <f>IF(US!$W10&gt;DS!$W10,US!F10,DS!F10)</f>
        <v>0</v>
      </c>
      <c r="S10" s="20">
        <f>IF(US!$W10&gt;DS!$W10,US!G10,DS!G10)</f>
        <v>0</v>
      </c>
      <c r="T10" s="9">
        <f>IF(US!$W10&gt;DS!$W10,US!H10,DS!H10)</f>
        <v>0.52986626832442085</v>
      </c>
      <c r="U10" s="9">
        <f>IF(US!$W10&gt;DS!$W10,US!I10,DS!I10)</f>
        <v>10.884866268324426</v>
      </c>
      <c r="V10" s="9">
        <f>IF(US!$W10&gt;DS!$W10,US!J10,DS!J10)</f>
        <v>20</v>
      </c>
      <c r="W10" s="10">
        <f>IF(US!$W10&gt;DS!$W10,US!K10,DS!K10)</f>
        <v>1.4508717894715074E-2</v>
      </c>
      <c r="X10" s="9">
        <f>IF(US!$W10&gt;DS!$W10,US!L10,DS!L10)</f>
        <v>10</v>
      </c>
      <c r="Y10" s="9">
        <f>IF(US!$W10&gt;DS!$W10,US!M10,DS!M10)</f>
        <v>5.2986626832442081</v>
      </c>
      <c r="Z10" s="9">
        <f>IF(US!$W10&gt;DS!$W10,US!N10,DS!N10)</f>
        <v>11.059732536648841</v>
      </c>
      <c r="AA10" s="9">
        <f>IF(US!$W10&gt;DS!$W10,US!O10,DS!O10)</f>
        <v>0.47909501117553532</v>
      </c>
      <c r="AB10" s="9">
        <f>IF(US!$W10&gt;DS!$W10,US!P10,DS!P10)</f>
        <v>3.7745373116966592</v>
      </c>
      <c r="AC10" s="9">
        <f>IF(US!$W10&gt;DS!$W10,US!Q10,DS!Q10)</f>
        <v>2.2799096675663639</v>
      </c>
      <c r="AD10" s="5">
        <f>IF(US!$W10&gt;DS!$W10,US!R10,DS!R10)</f>
        <v>1.6555644135347258</v>
      </c>
      <c r="AE10" s="10">
        <f>IF(US!$W10&gt;DS!$W10,US!S10,DS!S10)</f>
        <v>11.611019780933511</v>
      </c>
      <c r="AF10" s="12">
        <f>IF(US!$W10&gt;DS!$W10,US!T10,DS!T10)</f>
        <v>7.999999999999903E-3</v>
      </c>
      <c r="AG10" s="13">
        <f>IF(US!$W10&gt;DS!$W10,US!U10,DS!U10)</f>
        <v>1.3524843034459364E-31</v>
      </c>
      <c r="AH10" s="5">
        <f>IF(US!$W10&gt;DS!$W10,US!V10,DS!V10)</f>
        <v>0.26493313416221043</v>
      </c>
      <c r="AI10" s="5">
        <f>IF(US!$W10&gt;DS!$W10,US!W10,DS!W10)</f>
        <v>89.261939000142888</v>
      </c>
      <c r="AJ10" s="8">
        <f t="shared" si="6"/>
        <v>37.599376477055557</v>
      </c>
      <c r="AK10" s="5">
        <f t="shared" si="7"/>
        <v>2.9036061283365422</v>
      </c>
      <c r="AL10" s="5">
        <f t="shared" si="8"/>
        <v>74.216046480744708</v>
      </c>
      <c r="AM10" s="12">
        <f t="shared" si="9"/>
        <v>6.7563053914641126E-3</v>
      </c>
      <c r="AN10" s="5">
        <f t="shared" si="10"/>
        <v>0.19390558650295653</v>
      </c>
      <c r="AO10" s="5">
        <f t="shared" si="11"/>
        <v>25.785744960595881</v>
      </c>
      <c r="AP10" s="10">
        <v>10.935641297324029</v>
      </c>
      <c r="AQ10" s="10">
        <v>0.5276219982039696</v>
      </c>
      <c r="AR10" s="10">
        <f t="shared" si="12"/>
        <v>0.29221921703230302</v>
      </c>
      <c r="AS10" s="13">
        <f t="shared" si="13"/>
        <v>5.5414469383355543E-2</v>
      </c>
      <c r="AT10" s="10">
        <f t="shared" si="14"/>
        <v>0.70579804258075718</v>
      </c>
      <c r="AU10" s="10">
        <f t="shared" si="15"/>
        <v>2.5021638603463809E-2</v>
      </c>
      <c r="AV10" s="11">
        <f t="shared" si="16"/>
        <v>1.3740259549962145E-2</v>
      </c>
      <c r="AW10" s="25">
        <f>AM10+'Grid-BC'!L34</f>
        <v>6.7563053914641126E-3</v>
      </c>
      <c r="AX10" s="10">
        <f t="shared" si="17"/>
        <v>0.91360072498723155</v>
      </c>
      <c r="AY10" s="23">
        <f t="shared" si="18"/>
        <v>0.39777707834082277</v>
      </c>
      <c r="AZ10" s="9">
        <f t="shared" si="19"/>
        <v>19.465851292732651</v>
      </c>
      <c r="BA10" s="9">
        <f t="shared" si="20"/>
        <v>2.4209969217981043E-3</v>
      </c>
      <c r="BB10" s="5">
        <f t="shared" si="21"/>
        <v>13.941511724480984</v>
      </c>
      <c r="BC10" s="12">
        <f t="shared" si="22"/>
        <v>0.15005231631499538</v>
      </c>
      <c r="BD10" s="28">
        <f t="shared" si="23"/>
        <v>0.35649679484005903</v>
      </c>
    </row>
    <row r="11" spans="1:56" ht="16.5" thickBot="1" x14ac:dyDescent="0.35">
      <c r="E11" t="s">
        <v>80</v>
      </c>
      <c r="F11" s="34">
        <f>'Grid-BC'!F23</f>
        <v>8.0000000000000002E-3</v>
      </c>
      <c r="G11" t="s">
        <v>8</v>
      </c>
      <c r="M11" s="8">
        <f>IF(US!$W11&gt;DS!$W11,US!A11,DS!A11)</f>
        <v>9</v>
      </c>
      <c r="N11" s="14">
        <f>IF(US!$W11&gt;DS!$W11,US!B11,DS!B11)</f>
        <v>140</v>
      </c>
      <c r="O11" s="14">
        <f>IF(US!$W11&gt;DS!$W11,US!C11,DS!C11)</f>
        <v>10.315000000000007</v>
      </c>
      <c r="P11" s="10">
        <f>IF(US!$W11&gt;DS!$W11,US!D11,DS!D11)</f>
        <v>10.215000000000007</v>
      </c>
      <c r="Q11" s="8">
        <f>IF(US!$W11&gt;DS!$W11,US!E11,DS!E11)</f>
        <v>10</v>
      </c>
      <c r="R11" s="20">
        <f>IF(US!$W11&gt;DS!$W11,US!F11,DS!F11)</f>
        <v>0</v>
      </c>
      <c r="S11" s="20">
        <f>IF(US!$W11&gt;DS!$W11,US!G11,DS!G11)</f>
        <v>0</v>
      </c>
      <c r="T11" s="9">
        <f>IF(US!$W11&gt;DS!$W11,US!H11,DS!H11)</f>
        <v>0.52986626832442085</v>
      </c>
      <c r="U11" s="9">
        <f>IF(US!$W11&gt;DS!$W11,US!I11,DS!I11)</f>
        <v>10.844866268324427</v>
      </c>
      <c r="V11" s="9">
        <f>IF(US!$W11&gt;DS!$W11,US!J11,DS!J11)</f>
        <v>20</v>
      </c>
      <c r="W11" s="10">
        <f>IF(US!$W11&gt;DS!$W11,US!K11,DS!K11)</f>
        <v>1.4508717894715074E-2</v>
      </c>
      <c r="X11" s="9">
        <f>IF(US!$W11&gt;DS!$W11,US!L11,DS!L11)</f>
        <v>10</v>
      </c>
      <c r="Y11" s="9">
        <f>IF(US!$W11&gt;DS!$W11,US!M11,DS!M11)</f>
        <v>5.2986626832442081</v>
      </c>
      <c r="Z11" s="9">
        <f>IF(US!$W11&gt;DS!$W11,US!N11,DS!N11)</f>
        <v>11.059732536648841</v>
      </c>
      <c r="AA11" s="9">
        <f>IF(US!$W11&gt;DS!$W11,US!O11,DS!O11)</f>
        <v>0.47909501117553532</v>
      </c>
      <c r="AB11" s="9">
        <f>IF(US!$W11&gt;DS!$W11,US!P11,DS!P11)</f>
        <v>3.7745373116966592</v>
      </c>
      <c r="AC11" s="9">
        <f>IF(US!$W11&gt;DS!$W11,US!Q11,DS!Q11)</f>
        <v>2.2799096675663639</v>
      </c>
      <c r="AD11" s="5">
        <f>IF(US!$W11&gt;DS!$W11,US!R11,DS!R11)</f>
        <v>1.6555644135347258</v>
      </c>
      <c r="AE11" s="10">
        <f>IF(US!$W11&gt;DS!$W11,US!S11,DS!S11)</f>
        <v>11.571019780933511</v>
      </c>
      <c r="AF11" s="12">
        <f>IF(US!$W11&gt;DS!$W11,US!T11,DS!T11)</f>
        <v>7.999999999999903E-3</v>
      </c>
      <c r="AG11" s="13">
        <f>IF(US!$W11&gt;DS!$W11,US!U11,DS!U11)</f>
        <v>1.3524843034459364E-31</v>
      </c>
      <c r="AH11" s="5">
        <f>IF(US!$W11&gt;DS!$W11,US!V11,DS!V11)</f>
        <v>0.26493313416221043</v>
      </c>
      <c r="AI11" s="5">
        <f>IF(US!$W11&gt;DS!$W11,US!W11,DS!W11)</f>
        <v>89.261939000142888</v>
      </c>
      <c r="AJ11" s="8">
        <f t="shared" si="6"/>
        <v>37.599376477055557</v>
      </c>
      <c r="AK11" s="5">
        <f t="shared" si="7"/>
        <v>2.9036061283365422</v>
      </c>
      <c r="AL11" s="5">
        <f t="shared" si="8"/>
        <v>74.216046480744708</v>
      </c>
      <c r="AM11" s="12">
        <f t="shared" si="9"/>
        <v>6.7563053914641126E-3</v>
      </c>
      <c r="AN11" s="5">
        <f t="shared" si="10"/>
        <v>0.19390558650295653</v>
      </c>
      <c r="AO11" s="5">
        <f t="shared" si="11"/>
        <v>25.785744960595881</v>
      </c>
      <c r="AP11" s="10">
        <v>10.935641297324029</v>
      </c>
      <c r="AQ11" s="10">
        <v>0.5276219982039696</v>
      </c>
      <c r="AR11" s="10">
        <f t="shared" si="12"/>
        <v>0.29221921703230302</v>
      </c>
      <c r="AS11" s="13">
        <f t="shared" si="13"/>
        <v>5.5414469383355543E-2</v>
      </c>
      <c r="AT11" s="10">
        <f t="shared" si="14"/>
        <v>0.70579804258075718</v>
      </c>
      <c r="AU11" s="10">
        <f t="shared" si="15"/>
        <v>2.5021638603463809E-2</v>
      </c>
      <c r="AV11" s="11">
        <f t="shared" si="16"/>
        <v>1.3740259549962145E-2</v>
      </c>
      <c r="AW11" s="25">
        <f>AM11+'Grid-BC'!L35</f>
        <v>6.7563053914641126E-3</v>
      </c>
      <c r="AX11" s="10">
        <f t="shared" si="17"/>
        <v>0.91360072498723155</v>
      </c>
      <c r="AY11" s="23">
        <f t="shared" si="18"/>
        <v>0.39777707834082277</v>
      </c>
      <c r="AZ11" s="9">
        <f t="shared" si="19"/>
        <v>19.465851292732651</v>
      </c>
      <c r="BA11" s="9">
        <f t="shared" si="20"/>
        <v>2.4209969217981043E-3</v>
      </c>
      <c r="BB11" s="5">
        <f t="shared" si="21"/>
        <v>13.941511724480984</v>
      </c>
      <c r="BC11" s="12">
        <f t="shared" si="22"/>
        <v>0.15005231631499538</v>
      </c>
      <c r="BD11" s="28">
        <f t="shared" si="23"/>
        <v>0.35649679484005903</v>
      </c>
    </row>
    <row r="12" spans="1:56" ht="16.5" thickTop="1" x14ac:dyDescent="0.3">
      <c r="E12" t="s">
        <v>81</v>
      </c>
      <c r="F12" s="38">
        <f>3*F11</f>
        <v>2.4E-2</v>
      </c>
      <c r="M12" s="8">
        <f>IF(US!$W12&gt;DS!$W12,US!A12,DS!A12)</f>
        <v>10</v>
      </c>
      <c r="N12" s="14">
        <f>IF(US!$W12&gt;DS!$W12,US!B12,DS!B12)</f>
        <v>145</v>
      </c>
      <c r="O12" s="14">
        <f>IF(US!$W12&gt;DS!$W12,US!C12,DS!C12)</f>
        <v>10.275000000000007</v>
      </c>
      <c r="P12" s="10">
        <f>IF(US!$W12&gt;DS!$W12,US!D12,DS!D12)</f>
        <v>10.175000000000008</v>
      </c>
      <c r="Q12" s="8">
        <f>IF(US!$W12&gt;DS!$W12,US!E12,DS!E12)</f>
        <v>10</v>
      </c>
      <c r="R12" s="20">
        <f>IF(US!$W12&gt;DS!$W12,US!F12,DS!F12)</f>
        <v>0</v>
      </c>
      <c r="S12" s="20">
        <f>IF(US!$W12&gt;DS!$W12,US!G12,DS!G12)</f>
        <v>0</v>
      </c>
      <c r="T12" s="9">
        <f>IF(US!$W12&gt;DS!$W12,US!H12,DS!H12)</f>
        <v>0.52986626832442085</v>
      </c>
      <c r="U12" s="9">
        <f>IF(US!$W12&gt;DS!$W12,US!I12,DS!I12)</f>
        <v>10.804866268324428</v>
      </c>
      <c r="V12" s="9">
        <f>IF(US!$W12&gt;DS!$W12,US!J12,DS!J12)</f>
        <v>20</v>
      </c>
      <c r="W12" s="10">
        <f>IF(US!$W12&gt;DS!$W12,US!K12,DS!K12)</f>
        <v>1.4508717894715074E-2</v>
      </c>
      <c r="X12" s="9">
        <f>IF(US!$W12&gt;DS!$W12,US!L12,DS!L12)</f>
        <v>10</v>
      </c>
      <c r="Y12" s="9">
        <f>IF(US!$W12&gt;DS!$W12,US!M12,DS!M12)</f>
        <v>5.2986626832442081</v>
      </c>
      <c r="Z12" s="9">
        <f>IF(US!$W12&gt;DS!$W12,US!N12,DS!N12)</f>
        <v>11.059732536648841</v>
      </c>
      <c r="AA12" s="9">
        <f>IF(US!$W12&gt;DS!$W12,US!O12,DS!O12)</f>
        <v>0.47909501117553532</v>
      </c>
      <c r="AB12" s="9">
        <f>IF(US!$W12&gt;DS!$W12,US!P12,DS!P12)</f>
        <v>3.7745373116966592</v>
      </c>
      <c r="AC12" s="9">
        <f>IF(US!$W12&gt;DS!$W12,US!Q12,DS!Q12)</f>
        <v>2.2799096675663639</v>
      </c>
      <c r="AD12" s="5">
        <f>IF(US!$W12&gt;DS!$W12,US!R12,DS!R12)</f>
        <v>1.6555644135347258</v>
      </c>
      <c r="AE12" s="10">
        <f>IF(US!$W12&gt;DS!$W12,US!S12,DS!S12)</f>
        <v>11.531019780933512</v>
      </c>
      <c r="AF12" s="12">
        <f>IF(US!$W12&gt;DS!$W12,US!T12,DS!T12)</f>
        <v>7.999999999999903E-3</v>
      </c>
      <c r="AG12" s="13">
        <f>IF(US!$W12&gt;DS!$W12,US!U12,DS!U12)</f>
        <v>1.3524843034459364E-31</v>
      </c>
      <c r="AH12" s="5">
        <f>IF(US!$W12&gt;DS!$W12,US!V12,DS!V12)</f>
        <v>0.26493313416221043</v>
      </c>
      <c r="AI12" s="5">
        <f>IF(US!$W12&gt;DS!$W12,US!W12,DS!W12)</f>
        <v>89.261939000142888</v>
      </c>
      <c r="AJ12" s="8">
        <f t="shared" si="6"/>
        <v>37.599376477055557</v>
      </c>
      <c r="AK12" s="5">
        <f t="shared" si="7"/>
        <v>2.9036061283365422</v>
      </c>
      <c r="AL12" s="5">
        <f t="shared" si="8"/>
        <v>74.216046480744708</v>
      </c>
      <c r="AM12" s="12">
        <f t="shared" si="9"/>
        <v>6.7563053914641126E-3</v>
      </c>
      <c r="AN12" s="5">
        <f t="shared" si="10"/>
        <v>0.19390558650295653</v>
      </c>
      <c r="AO12" s="5">
        <f t="shared" si="11"/>
        <v>25.785744960595881</v>
      </c>
      <c r="AP12" s="10">
        <v>10.935641297324029</v>
      </c>
      <c r="AQ12" s="10">
        <v>0.5276219982039696</v>
      </c>
      <c r="AR12" s="10">
        <f t="shared" si="12"/>
        <v>0.29221921703230302</v>
      </c>
      <c r="AS12" s="13">
        <f t="shared" si="13"/>
        <v>5.5414469383355543E-2</v>
      </c>
      <c r="AT12" s="10">
        <f t="shared" si="14"/>
        <v>0.70579804258075718</v>
      </c>
      <c r="AU12" s="10">
        <f t="shared" si="15"/>
        <v>2.5021638603463809E-2</v>
      </c>
      <c r="AV12" s="11">
        <f t="shared" si="16"/>
        <v>1.3740259549962145E-2</v>
      </c>
      <c r="AW12" s="25">
        <f>AM12+'Grid-BC'!L36</f>
        <v>6.7563053914641126E-3</v>
      </c>
      <c r="AX12" s="10">
        <f t="shared" si="17"/>
        <v>0.91360072498723155</v>
      </c>
      <c r="AY12" s="23">
        <f t="shared" si="18"/>
        <v>0.39777707834082277</v>
      </c>
      <c r="AZ12" s="9">
        <f t="shared" si="19"/>
        <v>19.465851292732651</v>
      </c>
      <c r="BA12" s="9">
        <f t="shared" si="20"/>
        <v>2.4209969217981043E-3</v>
      </c>
      <c r="BB12" s="5">
        <f t="shared" si="21"/>
        <v>13.941511724480984</v>
      </c>
      <c r="BC12" s="12">
        <f t="shared" si="22"/>
        <v>0.15005231631499538</v>
      </c>
      <c r="BD12" s="28">
        <f t="shared" si="23"/>
        <v>0.35649679484005903</v>
      </c>
    </row>
    <row r="13" spans="1:56" x14ac:dyDescent="0.2">
      <c r="M13" s="8">
        <f>IF(US!$W13&gt;DS!$W13,US!A13,DS!A13)</f>
        <v>11</v>
      </c>
      <c r="N13" s="14">
        <f>IF(US!$W13&gt;DS!$W13,US!B13,DS!B13)</f>
        <v>150</v>
      </c>
      <c r="O13" s="14">
        <f>IF(US!$W13&gt;DS!$W13,US!C13,DS!C13)</f>
        <v>10.235000000000008</v>
      </c>
      <c r="P13" s="10">
        <f>IF(US!$W13&gt;DS!$W13,US!D13,DS!D13)</f>
        <v>10.135000000000009</v>
      </c>
      <c r="Q13" s="8">
        <f>IF(US!$W13&gt;DS!$W13,US!E13,DS!E13)</f>
        <v>10</v>
      </c>
      <c r="R13" s="20">
        <f>IF(US!$W13&gt;DS!$W13,US!F13,DS!F13)</f>
        <v>0</v>
      </c>
      <c r="S13" s="20">
        <f>IF(US!$W13&gt;DS!$W13,US!G13,DS!G13)</f>
        <v>0</v>
      </c>
      <c r="T13" s="9">
        <f>IF(US!$W13&gt;DS!$W13,US!H13,DS!H13)</f>
        <v>0.52986626832442085</v>
      </c>
      <c r="U13" s="9">
        <f>IF(US!$W13&gt;DS!$W13,US!I13,DS!I13)</f>
        <v>10.764866268324429</v>
      </c>
      <c r="V13" s="9">
        <f>IF(US!$W13&gt;DS!$W13,US!J13,DS!J13)</f>
        <v>20</v>
      </c>
      <c r="W13" s="10">
        <f>IF(US!$W13&gt;DS!$W13,US!K13,DS!K13)</f>
        <v>1.4508717894715074E-2</v>
      </c>
      <c r="X13" s="9">
        <f>IF(US!$W13&gt;DS!$W13,US!L13,DS!L13)</f>
        <v>10</v>
      </c>
      <c r="Y13" s="9">
        <f>IF(US!$W13&gt;DS!$W13,US!M13,DS!M13)</f>
        <v>5.2986626832442081</v>
      </c>
      <c r="Z13" s="9">
        <f>IF(US!$W13&gt;DS!$W13,US!N13,DS!N13)</f>
        <v>11.059732536648841</v>
      </c>
      <c r="AA13" s="9">
        <f>IF(US!$W13&gt;DS!$W13,US!O13,DS!O13)</f>
        <v>0.47909501117553532</v>
      </c>
      <c r="AB13" s="9">
        <f>IF(US!$W13&gt;DS!$W13,US!P13,DS!P13)</f>
        <v>3.7745373116966592</v>
      </c>
      <c r="AC13" s="9">
        <f>IF(US!$W13&gt;DS!$W13,US!Q13,DS!Q13)</f>
        <v>2.2799096675663639</v>
      </c>
      <c r="AD13" s="5">
        <f>IF(US!$W13&gt;DS!$W13,US!R13,DS!R13)</f>
        <v>1.6555644135347258</v>
      </c>
      <c r="AE13" s="10">
        <f>IF(US!$W13&gt;DS!$W13,US!S13,DS!S13)</f>
        <v>11.491019780933513</v>
      </c>
      <c r="AF13" s="12">
        <f>IF(US!$W13&gt;DS!$W13,US!T13,DS!T13)</f>
        <v>7.999999999999903E-3</v>
      </c>
      <c r="AG13" s="13">
        <f>IF(US!$W13&gt;DS!$W13,US!U13,DS!U13)</f>
        <v>1.3524843034459364E-31</v>
      </c>
      <c r="AH13" s="5">
        <f>IF(US!$W13&gt;DS!$W13,US!V13,DS!V13)</f>
        <v>0.26493313416221043</v>
      </c>
      <c r="AI13" s="5">
        <f>IF(US!$W13&gt;DS!$W13,US!W13,DS!W13)</f>
        <v>89.261939000142888</v>
      </c>
      <c r="AJ13" s="8">
        <f t="shared" si="6"/>
        <v>37.599376477055557</v>
      </c>
      <c r="AK13" s="5">
        <f t="shared" si="7"/>
        <v>2.9036061283365422</v>
      </c>
      <c r="AL13" s="5">
        <f t="shared" si="8"/>
        <v>74.216046480744708</v>
      </c>
      <c r="AM13" s="12">
        <f t="shared" si="9"/>
        <v>6.7563053914641126E-3</v>
      </c>
      <c r="AN13" s="5">
        <f t="shared" si="10"/>
        <v>0.19390558650295653</v>
      </c>
      <c r="AO13" s="5">
        <f t="shared" si="11"/>
        <v>25.785744960595881</v>
      </c>
      <c r="AP13" s="10">
        <v>10.935641297324029</v>
      </c>
      <c r="AQ13" s="10">
        <v>0.5276219982039696</v>
      </c>
      <c r="AR13" s="10">
        <f t="shared" si="12"/>
        <v>0.29221921703230302</v>
      </c>
      <c r="AS13" s="13">
        <f t="shared" si="13"/>
        <v>5.5414469383355543E-2</v>
      </c>
      <c r="AT13" s="10">
        <f t="shared" si="14"/>
        <v>0.70579804258075718</v>
      </c>
      <c r="AU13" s="10">
        <f t="shared" si="15"/>
        <v>2.5021638603463809E-2</v>
      </c>
      <c r="AV13" s="11">
        <f t="shared" si="16"/>
        <v>1.3740259549962145E-2</v>
      </c>
      <c r="AW13" s="25">
        <f>AM13+'Grid-BC'!L37</f>
        <v>6.7563053914641126E-3</v>
      </c>
      <c r="AX13" s="10">
        <f t="shared" si="17"/>
        <v>0.91360072498723155</v>
      </c>
      <c r="AY13" s="23">
        <f t="shared" si="18"/>
        <v>0.39777707834082277</v>
      </c>
      <c r="AZ13" s="9">
        <f t="shared" si="19"/>
        <v>19.465851292732651</v>
      </c>
      <c r="BA13" s="9">
        <f t="shared" si="20"/>
        <v>2.4209969217981043E-3</v>
      </c>
      <c r="BB13" s="5">
        <f t="shared" si="21"/>
        <v>13.941511724480984</v>
      </c>
      <c r="BC13" s="12">
        <f t="shared" si="22"/>
        <v>0.15005231631499538</v>
      </c>
      <c r="BD13" s="28">
        <f t="shared" si="23"/>
        <v>0.35649679484005903</v>
      </c>
    </row>
    <row r="14" spans="1:56" x14ac:dyDescent="0.2">
      <c r="M14" s="8">
        <f>IF(US!$W14&gt;DS!$W14,US!A14,DS!A14)</f>
        <v>12</v>
      </c>
      <c r="N14" s="14">
        <f>IF(US!$W14&gt;DS!$W14,US!B14,DS!B14)</f>
        <v>155</v>
      </c>
      <c r="O14" s="14">
        <f>IF(US!$W14&gt;DS!$W14,US!C14,DS!C14)</f>
        <v>10.195000000000009</v>
      </c>
      <c r="P14" s="10">
        <f>IF(US!$W14&gt;DS!$W14,US!D14,DS!D14)</f>
        <v>10.09500000000001</v>
      </c>
      <c r="Q14" s="8">
        <f>IF(US!$W14&gt;DS!$W14,US!E14,DS!E14)</f>
        <v>10</v>
      </c>
      <c r="R14" s="20">
        <f>IF(US!$W14&gt;DS!$W14,US!F14,DS!F14)</f>
        <v>0</v>
      </c>
      <c r="S14" s="20">
        <f>IF(US!$W14&gt;DS!$W14,US!G14,DS!G14)</f>
        <v>0</v>
      </c>
      <c r="T14" s="9">
        <f>IF(US!$W14&gt;DS!$W14,US!H14,DS!H14)</f>
        <v>0.52986626832442085</v>
      </c>
      <c r="U14" s="9">
        <f>IF(US!$W14&gt;DS!$W14,US!I14,DS!I14)</f>
        <v>10.72486626832443</v>
      </c>
      <c r="V14" s="9">
        <f>IF(US!$W14&gt;DS!$W14,US!J14,DS!J14)</f>
        <v>20</v>
      </c>
      <c r="W14" s="10">
        <f>IF(US!$W14&gt;DS!$W14,US!K14,DS!K14)</f>
        <v>1.4508717894715074E-2</v>
      </c>
      <c r="X14" s="9">
        <f>IF(US!$W14&gt;DS!$W14,US!L14,DS!L14)</f>
        <v>10</v>
      </c>
      <c r="Y14" s="9">
        <f>IF(US!$W14&gt;DS!$W14,US!M14,DS!M14)</f>
        <v>5.2986626832442081</v>
      </c>
      <c r="Z14" s="9">
        <f>IF(US!$W14&gt;DS!$W14,US!N14,DS!N14)</f>
        <v>11.059732536648841</v>
      </c>
      <c r="AA14" s="9">
        <f>IF(US!$W14&gt;DS!$W14,US!O14,DS!O14)</f>
        <v>0.47909501117553532</v>
      </c>
      <c r="AB14" s="9">
        <f>IF(US!$W14&gt;DS!$W14,US!P14,DS!P14)</f>
        <v>3.7745373116966592</v>
      </c>
      <c r="AC14" s="9">
        <f>IF(US!$W14&gt;DS!$W14,US!Q14,DS!Q14)</f>
        <v>2.2799096675663639</v>
      </c>
      <c r="AD14" s="5">
        <f>IF(US!$W14&gt;DS!$W14,US!R14,DS!R14)</f>
        <v>1.6555644135347258</v>
      </c>
      <c r="AE14" s="10">
        <f>IF(US!$W14&gt;DS!$W14,US!S14,DS!S14)</f>
        <v>11.451019780933514</v>
      </c>
      <c r="AF14" s="12">
        <f>IF(US!$W14&gt;DS!$W14,US!T14,DS!T14)</f>
        <v>7.999999999999903E-3</v>
      </c>
      <c r="AG14" s="13">
        <f>IF(US!$W14&gt;DS!$W14,US!U14,DS!U14)</f>
        <v>1.3524843034459364E-31</v>
      </c>
      <c r="AH14" s="5">
        <f>IF(US!$W14&gt;DS!$W14,US!V14,DS!V14)</f>
        <v>0.26493313416221043</v>
      </c>
      <c r="AI14" s="5">
        <f>IF(US!$W14&gt;DS!$W14,US!W14,DS!W14)</f>
        <v>89.261939000142888</v>
      </c>
      <c r="AJ14" s="8">
        <f t="shared" si="6"/>
        <v>37.599376477055557</v>
      </c>
      <c r="AK14" s="5">
        <f t="shared" si="7"/>
        <v>2.9036061283365422</v>
      </c>
      <c r="AL14" s="5">
        <f t="shared" si="8"/>
        <v>74.216046480744708</v>
      </c>
      <c r="AM14" s="12">
        <f t="shared" si="9"/>
        <v>6.7563053914641126E-3</v>
      </c>
      <c r="AN14" s="5">
        <f t="shared" si="10"/>
        <v>0.19390558650295653</v>
      </c>
      <c r="AO14" s="5">
        <f t="shared" si="11"/>
        <v>25.785744960595881</v>
      </c>
      <c r="AP14" s="10">
        <v>10.935641297324029</v>
      </c>
      <c r="AQ14" s="10">
        <v>0.5276219982039696</v>
      </c>
      <c r="AR14" s="10">
        <f t="shared" si="12"/>
        <v>0.29221921703230302</v>
      </c>
      <c r="AS14" s="13">
        <f t="shared" si="13"/>
        <v>5.5414469383355543E-2</v>
      </c>
      <c r="AT14" s="10">
        <f t="shared" si="14"/>
        <v>0.70579804258075718</v>
      </c>
      <c r="AU14" s="10">
        <f t="shared" si="15"/>
        <v>2.5021638603463809E-2</v>
      </c>
      <c r="AV14" s="11">
        <f t="shared" si="16"/>
        <v>1.3740259549962145E-2</v>
      </c>
      <c r="AW14" s="25">
        <f>AM14+'Grid-BC'!L38</f>
        <v>6.7563053914641126E-3</v>
      </c>
      <c r="AX14" s="10">
        <f t="shared" si="17"/>
        <v>0.91360072498723155</v>
      </c>
      <c r="AY14" s="23">
        <f t="shared" si="18"/>
        <v>0.39777707834082277</v>
      </c>
      <c r="AZ14" s="9">
        <f t="shared" si="19"/>
        <v>19.465851292732651</v>
      </c>
      <c r="BA14" s="9">
        <f t="shared" si="20"/>
        <v>2.4209969217981043E-3</v>
      </c>
      <c r="BB14" s="5">
        <f t="shared" si="21"/>
        <v>13.941511724480984</v>
      </c>
      <c r="BC14" s="12">
        <f t="shared" si="22"/>
        <v>0.15005231631499538</v>
      </c>
      <c r="BD14" s="28">
        <f t="shared" si="23"/>
        <v>0.35649679484005903</v>
      </c>
    </row>
    <row r="15" spans="1:56" x14ac:dyDescent="0.2">
      <c r="M15" s="8">
        <f>IF(US!$W15&gt;DS!$W15,US!A15,DS!A15)</f>
        <v>13</v>
      </c>
      <c r="N15" s="14">
        <f>IF(US!$W15&gt;DS!$W15,US!B15,DS!B15)</f>
        <v>160</v>
      </c>
      <c r="O15" s="14">
        <f>IF(US!$W15&gt;DS!$W15,US!C15,DS!C15)</f>
        <v>10.15500000000001</v>
      </c>
      <c r="P15" s="10">
        <f>IF(US!$W15&gt;DS!$W15,US!D15,DS!D15)</f>
        <v>10.05500000000001</v>
      </c>
      <c r="Q15" s="8">
        <f>IF(US!$W15&gt;DS!$W15,US!E15,DS!E15)</f>
        <v>10</v>
      </c>
      <c r="R15" s="20">
        <f>IF(US!$W15&gt;DS!$W15,US!F15,DS!F15)</f>
        <v>0</v>
      </c>
      <c r="S15" s="20">
        <f>IF(US!$W15&gt;DS!$W15,US!G15,DS!G15)</f>
        <v>0</v>
      </c>
      <c r="T15" s="9">
        <f>IF(US!$W15&gt;DS!$W15,US!H15,DS!H15)</f>
        <v>0.52986626832442085</v>
      </c>
      <c r="U15" s="9">
        <f>IF(US!$W15&gt;DS!$W15,US!I15,DS!I15)</f>
        <v>10.684866268324431</v>
      </c>
      <c r="V15" s="9">
        <f>IF(US!$W15&gt;DS!$W15,US!J15,DS!J15)</f>
        <v>20</v>
      </c>
      <c r="W15" s="10">
        <f>IF(US!$W15&gt;DS!$W15,US!K15,DS!K15)</f>
        <v>1.4508717894715074E-2</v>
      </c>
      <c r="X15" s="9">
        <f>IF(US!$W15&gt;DS!$W15,US!L15,DS!L15)</f>
        <v>10</v>
      </c>
      <c r="Y15" s="9">
        <f>IF(US!$W15&gt;DS!$W15,US!M15,DS!M15)</f>
        <v>5.2986626832442081</v>
      </c>
      <c r="Z15" s="9">
        <f>IF(US!$W15&gt;DS!$W15,US!N15,DS!N15)</f>
        <v>11.059732536648841</v>
      </c>
      <c r="AA15" s="9">
        <f>IF(US!$W15&gt;DS!$W15,US!O15,DS!O15)</f>
        <v>0.47909501117553532</v>
      </c>
      <c r="AB15" s="9">
        <f>IF(US!$W15&gt;DS!$W15,US!P15,DS!P15)</f>
        <v>3.7745373116966592</v>
      </c>
      <c r="AC15" s="9">
        <f>IF(US!$W15&gt;DS!$W15,US!Q15,DS!Q15)</f>
        <v>2.2799096675663639</v>
      </c>
      <c r="AD15" s="5">
        <f>IF(US!$W15&gt;DS!$W15,US!R15,DS!R15)</f>
        <v>1.6555644135347258</v>
      </c>
      <c r="AE15" s="10">
        <f>IF(US!$W15&gt;DS!$W15,US!S15,DS!S15)</f>
        <v>11.411019780933515</v>
      </c>
      <c r="AF15" s="12">
        <f>IF(US!$W15&gt;DS!$W15,US!T15,DS!T15)</f>
        <v>7.999999999999903E-3</v>
      </c>
      <c r="AG15" s="13">
        <f>IF(US!$W15&gt;DS!$W15,US!U15,DS!U15)</f>
        <v>1.3524843034459364E-31</v>
      </c>
      <c r="AH15" s="5">
        <f>IF(US!$W15&gt;DS!$W15,US!V15,DS!V15)</f>
        <v>0.26493313416221043</v>
      </c>
      <c r="AI15" s="5">
        <f>IF(US!$W15&gt;DS!$W15,US!W15,DS!W15)</f>
        <v>89.261939000142888</v>
      </c>
      <c r="AJ15" s="8">
        <f t="shared" si="6"/>
        <v>37.599376477055557</v>
      </c>
      <c r="AK15" s="5">
        <f t="shared" si="7"/>
        <v>2.9036061283365422</v>
      </c>
      <c r="AL15" s="5">
        <f t="shared" si="8"/>
        <v>74.216046480744708</v>
      </c>
      <c r="AM15" s="12">
        <f t="shared" si="9"/>
        <v>6.7563053914641126E-3</v>
      </c>
      <c r="AN15" s="5">
        <f t="shared" si="10"/>
        <v>0.19390558650295653</v>
      </c>
      <c r="AO15" s="5">
        <f t="shared" si="11"/>
        <v>25.785744960595881</v>
      </c>
      <c r="AP15" s="10">
        <v>10.935641297324029</v>
      </c>
      <c r="AQ15" s="10">
        <v>0.5276219982039696</v>
      </c>
      <c r="AR15" s="10">
        <f t="shared" si="12"/>
        <v>0.29221921703230302</v>
      </c>
      <c r="AS15" s="13">
        <f t="shared" si="13"/>
        <v>5.5414469383355543E-2</v>
      </c>
      <c r="AT15" s="10">
        <f t="shared" si="14"/>
        <v>0.70579804258075718</v>
      </c>
      <c r="AU15" s="10">
        <f t="shared" si="15"/>
        <v>2.5021638603463809E-2</v>
      </c>
      <c r="AV15" s="11">
        <f t="shared" si="16"/>
        <v>1.3740259549962145E-2</v>
      </c>
      <c r="AW15" s="25">
        <f>AM15+'Grid-BC'!L39</f>
        <v>6.7563053914641126E-3</v>
      </c>
      <c r="AX15" s="10">
        <f t="shared" si="17"/>
        <v>0.91360072498723155</v>
      </c>
      <c r="AY15" s="23">
        <f t="shared" si="18"/>
        <v>0.39777707834082277</v>
      </c>
      <c r="AZ15" s="9">
        <f t="shared" si="19"/>
        <v>19.465851292732651</v>
      </c>
      <c r="BA15" s="9">
        <f t="shared" si="20"/>
        <v>2.4209969217981043E-3</v>
      </c>
      <c r="BB15" s="5">
        <f t="shared" si="21"/>
        <v>13.941511724480984</v>
      </c>
      <c r="BC15" s="12">
        <f t="shared" si="22"/>
        <v>0.15005231631499538</v>
      </c>
      <c r="BD15" s="28">
        <f t="shared" si="23"/>
        <v>0.35649679484005903</v>
      </c>
    </row>
    <row r="16" spans="1:56" x14ac:dyDescent="0.2">
      <c r="M16" s="8">
        <f>IF(US!$W16&gt;DS!$W16,US!A16,DS!A16)</f>
        <v>14</v>
      </c>
      <c r="N16" s="14">
        <f>IF(US!$W16&gt;DS!$W16,US!B16,DS!B16)</f>
        <v>165</v>
      </c>
      <c r="O16" s="14">
        <f>IF(US!$W16&gt;DS!$W16,US!C16,DS!C16)</f>
        <v>10.115000000000011</v>
      </c>
      <c r="P16" s="10">
        <f>IF(US!$W16&gt;DS!$W16,US!D16,DS!D16)</f>
        <v>10.015000000000011</v>
      </c>
      <c r="Q16" s="8">
        <f>IF(US!$W16&gt;DS!$W16,US!E16,DS!E16)</f>
        <v>10</v>
      </c>
      <c r="R16" s="20">
        <f>IF(US!$W16&gt;DS!$W16,US!F16,DS!F16)</f>
        <v>0</v>
      </c>
      <c r="S16" s="20">
        <f>IF(US!$W16&gt;DS!$W16,US!G16,DS!G16)</f>
        <v>0</v>
      </c>
      <c r="T16" s="9">
        <f>IF(US!$W16&gt;DS!$W16,US!H16,DS!H16)</f>
        <v>0.52986626832442085</v>
      </c>
      <c r="U16" s="9">
        <f>IF(US!$W16&gt;DS!$W16,US!I16,DS!I16)</f>
        <v>10.644866268324432</v>
      </c>
      <c r="V16" s="9">
        <f>IF(US!$W16&gt;DS!$W16,US!J16,DS!J16)</f>
        <v>20</v>
      </c>
      <c r="W16" s="10">
        <f>IF(US!$W16&gt;DS!$W16,US!K16,DS!K16)</f>
        <v>1.4508717894715074E-2</v>
      </c>
      <c r="X16" s="9">
        <f>IF(US!$W16&gt;DS!$W16,US!L16,DS!L16)</f>
        <v>10</v>
      </c>
      <c r="Y16" s="9">
        <f>IF(US!$W16&gt;DS!$W16,US!M16,DS!M16)</f>
        <v>5.2986626832442081</v>
      </c>
      <c r="Z16" s="9">
        <f>IF(US!$W16&gt;DS!$W16,US!N16,DS!N16)</f>
        <v>11.059732536648841</v>
      </c>
      <c r="AA16" s="9">
        <f>IF(US!$W16&gt;DS!$W16,US!O16,DS!O16)</f>
        <v>0.47909501117553532</v>
      </c>
      <c r="AB16" s="9">
        <f>IF(US!$W16&gt;DS!$W16,US!P16,DS!P16)</f>
        <v>3.7745373116966592</v>
      </c>
      <c r="AC16" s="9">
        <f>IF(US!$W16&gt;DS!$W16,US!Q16,DS!Q16)</f>
        <v>2.2799096675663639</v>
      </c>
      <c r="AD16" s="5">
        <f>IF(US!$W16&gt;DS!$W16,US!R16,DS!R16)</f>
        <v>1.6555644135347258</v>
      </c>
      <c r="AE16" s="10">
        <f>IF(US!$W16&gt;DS!$W16,US!S16,DS!S16)</f>
        <v>11.371019780933516</v>
      </c>
      <c r="AF16" s="12">
        <f>IF(US!$W16&gt;DS!$W16,US!T16,DS!T16)</f>
        <v>7.999999999999903E-3</v>
      </c>
      <c r="AG16" s="13">
        <f>IF(US!$W16&gt;DS!$W16,US!U16,DS!U16)</f>
        <v>1.3524843034459364E-31</v>
      </c>
      <c r="AH16" s="5">
        <f>IF(US!$W16&gt;DS!$W16,US!V16,DS!V16)</f>
        <v>0.26493313416221043</v>
      </c>
      <c r="AI16" s="5">
        <f>IF(US!$W16&gt;DS!$W16,US!W16,DS!W16)</f>
        <v>89.261939000142888</v>
      </c>
      <c r="AJ16" s="8">
        <f t="shared" si="6"/>
        <v>37.599376477055557</v>
      </c>
      <c r="AK16" s="5">
        <f t="shared" si="7"/>
        <v>2.9036061283365422</v>
      </c>
      <c r="AL16" s="5">
        <f t="shared" si="8"/>
        <v>74.216046480744708</v>
      </c>
      <c r="AM16" s="12">
        <f t="shared" si="9"/>
        <v>6.7563053914641126E-3</v>
      </c>
      <c r="AN16" s="5">
        <f t="shared" si="10"/>
        <v>0.19390558650295653</v>
      </c>
      <c r="AO16" s="5">
        <f t="shared" si="11"/>
        <v>25.785744960595881</v>
      </c>
      <c r="AP16" s="10">
        <v>10.935641297324029</v>
      </c>
      <c r="AQ16" s="10">
        <v>0.5276219982039696</v>
      </c>
      <c r="AR16" s="10">
        <f t="shared" si="12"/>
        <v>0.29221921703230302</v>
      </c>
      <c r="AS16" s="13">
        <f t="shared" si="13"/>
        <v>5.5414469383355543E-2</v>
      </c>
      <c r="AT16" s="10">
        <f t="shared" si="14"/>
        <v>0.70579804258075718</v>
      </c>
      <c r="AU16" s="10">
        <f t="shared" si="15"/>
        <v>2.5021638603463809E-2</v>
      </c>
      <c r="AV16" s="11">
        <f t="shared" si="16"/>
        <v>1.3740259549962145E-2</v>
      </c>
      <c r="AW16" s="25">
        <f>AM16+'Grid-BC'!L40</f>
        <v>6.7563053914641126E-3</v>
      </c>
      <c r="AX16" s="10">
        <f t="shared" si="17"/>
        <v>0.91360072498723155</v>
      </c>
      <c r="AY16" s="23">
        <f t="shared" si="18"/>
        <v>0.39777707834082277</v>
      </c>
      <c r="AZ16" s="9">
        <f t="shared" si="19"/>
        <v>19.465851292732651</v>
      </c>
      <c r="BA16" s="9">
        <f t="shared" si="20"/>
        <v>2.4209969217981043E-3</v>
      </c>
      <c r="BB16" s="5">
        <f t="shared" si="21"/>
        <v>13.941511724480984</v>
      </c>
      <c r="BC16" s="12">
        <f t="shared" si="22"/>
        <v>0.15005231631499538</v>
      </c>
      <c r="BD16" s="28">
        <f t="shared" si="23"/>
        <v>0.35649679484005903</v>
      </c>
    </row>
    <row r="17" spans="13:56" x14ac:dyDescent="0.2">
      <c r="M17" s="8">
        <f>IF(US!$W17&gt;DS!$W17,US!A17,DS!A17)</f>
        <v>15</v>
      </c>
      <c r="N17" s="14">
        <f>IF(US!$W17&gt;DS!$W17,US!B17,DS!B17)</f>
        <v>170</v>
      </c>
      <c r="O17" s="14">
        <f>IF(US!$W17&gt;DS!$W17,US!C17,DS!C17)</f>
        <v>10.075000000000012</v>
      </c>
      <c r="P17" s="10">
        <f>IF(US!$W17&gt;DS!$W17,US!D17,DS!D17)</f>
        <v>9.9750000000000121</v>
      </c>
      <c r="Q17" s="8">
        <f>IF(US!$W17&gt;DS!$W17,US!E17,DS!E17)</f>
        <v>10</v>
      </c>
      <c r="R17" s="20">
        <f>IF(US!$W17&gt;DS!$W17,US!F17,DS!F17)</f>
        <v>0</v>
      </c>
      <c r="S17" s="20">
        <f>IF(US!$W17&gt;DS!$W17,US!G17,DS!G17)</f>
        <v>0</v>
      </c>
      <c r="T17" s="9">
        <f>IF(US!$W17&gt;DS!$W17,US!H17,DS!H17)</f>
        <v>0.52986626832442085</v>
      </c>
      <c r="U17" s="9">
        <f>IF(US!$W17&gt;DS!$W17,US!I17,DS!I17)</f>
        <v>10.604866268324432</v>
      </c>
      <c r="V17" s="9">
        <f>IF(US!$W17&gt;DS!$W17,US!J17,DS!J17)</f>
        <v>20</v>
      </c>
      <c r="W17" s="10">
        <f>IF(US!$W17&gt;DS!$W17,US!K17,DS!K17)</f>
        <v>1.4508717894715074E-2</v>
      </c>
      <c r="X17" s="9">
        <f>IF(US!$W17&gt;DS!$W17,US!L17,DS!L17)</f>
        <v>10</v>
      </c>
      <c r="Y17" s="9">
        <f>IF(US!$W17&gt;DS!$W17,US!M17,DS!M17)</f>
        <v>5.2986626832442081</v>
      </c>
      <c r="Z17" s="9">
        <f>IF(US!$W17&gt;DS!$W17,US!N17,DS!N17)</f>
        <v>11.059732536648841</v>
      </c>
      <c r="AA17" s="9">
        <f>IF(US!$W17&gt;DS!$W17,US!O17,DS!O17)</f>
        <v>0.47909501117553532</v>
      </c>
      <c r="AB17" s="9">
        <f>IF(US!$W17&gt;DS!$W17,US!P17,DS!P17)</f>
        <v>3.7745373116966592</v>
      </c>
      <c r="AC17" s="9">
        <f>IF(US!$W17&gt;DS!$W17,US!Q17,DS!Q17)</f>
        <v>2.2799096675663639</v>
      </c>
      <c r="AD17" s="5">
        <f>IF(US!$W17&gt;DS!$W17,US!R17,DS!R17)</f>
        <v>1.6555644135347258</v>
      </c>
      <c r="AE17" s="10">
        <f>IF(US!$W17&gt;DS!$W17,US!S17,DS!S17)</f>
        <v>11.331019780933516</v>
      </c>
      <c r="AF17" s="12">
        <f>IF(US!$W17&gt;DS!$W17,US!T17,DS!T17)</f>
        <v>7.999999999999903E-3</v>
      </c>
      <c r="AG17" s="13">
        <f>IF(US!$W17&gt;DS!$W17,US!U17,DS!U17)</f>
        <v>4.2524085490349914E-4</v>
      </c>
      <c r="AH17" s="5">
        <f>IF(US!$W17&gt;DS!$W17,US!V17,DS!V17)</f>
        <v>0.26493313416221043</v>
      </c>
      <c r="AI17" s="5">
        <f>IF(US!$W17&gt;DS!$W17,US!W17,DS!W17)</f>
        <v>89.261939000142888</v>
      </c>
      <c r="AJ17" s="8">
        <f t="shared" si="6"/>
        <v>37.599376477055557</v>
      </c>
      <c r="AK17" s="5">
        <f t="shared" si="7"/>
        <v>2.9036061283365422</v>
      </c>
      <c r="AL17" s="5">
        <f t="shared" si="8"/>
        <v>74.216046480744708</v>
      </c>
      <c r="AM17" s="12">
        <f t="shared" si="9"/>
        <v>6.7563053914641126E-3</v>
      </c>
      <c r="AN17" s="5">
        <f t="shared" si="10"/>
        <v>0.19390558650295653</v>
      </c>
      <c r="AO17" s="5">
        <f t="shared" si="11"/>
        <v>25.785744960595881</v>
      </c>
      <c r="AP17" s="10">
        <v>10.935641297324029</v>
      </c>
      <c r="AQ17" s="10">
        <v>0.5276219982039696</v>
      </c>
      <c r="AR17" s="10">
        <f t="shared" si="12"/>
        <v>0.29221921703230302</v>
      </c>
      <c r="AS17" s="13">
        <f t="shared" si="13"/>
        <v>5.5414469383355543E-2</v>
      </c>
      <c r="AT17" s="10">
        <f t="shared" si="14"/>
        <v>0.70579804258075718</v>
      </c>
      <c r="AU17" s="10">
        <f t="shared" si="15"/>
        <v>2.5021638603463809E-2</v>
      </c>
      <c r="AV17" s="11">
        <f t="shared" si="16"/>
        <v>1.3740259549962145E-2</v>
      </c>
      <c r="AW17" s="25">
        <f>AM17+'Grid-BC'!L41</f>
        <v>6.7563053914641126E-3</v>
      </c>
      <c r="AX17" s="10">
        <f t="shared" si="17"/>
        <v>0.91360072498723155</v>
      </c>
      <c r="AY17" s="23">
        <f t="shared" si="18"/>
        <v>0.39777707834082277</v>
      </c>
      <c r="AZ17" s="9">
        <f t="shared" si="19"/>
        <v>19.465851292732651</v>
      </c>
      <c r="BA17" s="9">
        <f t="shared" si="20"/>
        <v>2.4209969217981043E-3</v>
      </c>
      <c r="BB17" s="5">
        <f t="shared" si="21"/>
        <v>13.941511724480984</v>
      </c>
      <c r="BC17" s="12">
        <f t="shared" si="22"/>
        <v>0.15005231631499538</v>
      </c>
      <c r="BD17" s="28">
        <f t="shared" si="23"/>
        <v>0.35649679484005903</v>
      </c>
    </row>
    <row r="18" spans="13:56" x14ac:dyDescent="0.2">
      <c r="M18" s="8">
        <f>IF(US!$W18&gt;DS!$W18,US!A18,DS!A18)</f>
        <v>16</v>
      </c>
      <c r="N18" s="14">
        <f>IF(US!$W18&gt;DS!$W18,US!B18,DS!B18)</f>
        <v>175</v>
      </c>
      <c r="O18" s="14">
        <f>IF(US!$W18&gt;DS!$W18,US!C18,DS!C18)</f>
        <v>10.070000000000011</v>
      </c>
      <c r="P18" s="10">
        <f>IF(US!$W18&gt;DS!$W18,US!D18,DS!D18)</f>
        <v>9.9700000000000113</v>
      </c>
      <c r="Q18" s="8">
        <f>IF(US!$W18&gt;DS!$W18,US!E18,DS!E18)</f>
        <v>10</v>
      </c>
      <c r="R18" s="20">
        <f>IF(US!$W18&gt;DS!$W18,US!F18,DS!F18)</f>
        <v>0</v>
      </c>
      <c r="S18" s="20">
        <f>IF(US!$W18&gt;DS!$W18,US!G18,DS!G18)</f>
        <v>0</v>
      </c>
      <c r="T18" s="9">
        <f>IF(US!$W18&gt;DS!$W18,US!H18,DS!H18)</f>
        <v>1.0231438844279075</v>
      </c>
      <c r="U18" s="9">
        <f>IF(US!$W18&gt;DS!$W18,US!I18,DS!I18)</f>
        <v>11.093143884427919</v>
      </c>
      <c r="V18" s="9">
        <f>IF(US!$W18&gt;DS!$W18,US!J18,DS!J18)</f>
        <v>20</v>
      </c>
      <c r="W18" s="10">
        <f>IF(US!$W18&gt;DS!$W18,US!K18,DS!K18)</f>
        <v>1.4508717894715074E-2</v>
      </c>
      <c r="X18" s="9">
        <f>IF(US!$W18&gt;DS!$W18,US!L18,DS!L18)</f>
        <v>10</v>
      </c>
      <c r="Y18" s="9">
        <f>IF(US!$W18&gt;DS!$W18,US!M18,DS!M18)</f>
        <v>10.231438844279076</v>
      </c>
      <c r="Z18" s="9">
        <f>IF(US!$W18&gt;DS!$W18,US!N18,DS!N18)</f>
        <v>12.046287768855816</v>
      </c>
      <c r="AA18" s="9">
        <f>IF(US!$W18&gt;DS!$W18,US!O18,DS!O18)</f>
        <v>0.84934371821426957</v>
      </c>
      <c r="AB18" s="9">
        <f>IF(US!$W18&gt;DS!$W18,US!P18,DS!P18)</f>
        <v>1.9547592772040103</v>
      </c>
      <c r="AC18" s="9">
        <f>IF(US!$W18&gt;DS!$W18,US!Q18,DS!Q18)</f>
        <v>3.168129022978353</v>
      </c>
      <c r="AD18" s="5">
        <f>IF(US!$W18&gt;DS!$W18,US!R18,DS!R18)</f>
        <v>0.61700747129494882</v>
      </c>
      <c r="AE18" s="10">
        <f>IF(US!$W18&gt;DS!$W18,US!S18,DS!S18)</f>
        <v>11.28789841204337</v>
      </c>
      <c r="AF18" s="12">
        <f>IF(US!$W18&gt;DS!$W18,US!T18,DS!T18)</f>
        <v>9.9999999999999243E-4</v>
      </c>
      <c r="AG18" s="13">
        <f>IF(US!$W18&gt;DS!$W18,US!U18,DS!U18)</f>
        <v>6.7183733929156691E-31</v>
      </c>
      <c r="AH18" s="5">
        <f>IF(US!$W18&gt;DS!$W18,US!V18,DS!V18)</f>
        <v>0.51157194221395375</v>
      </c>
      <c r="AI18" s="5">
        <f>IF(US!$W18&gt;DS!$W18,US!W18,DS!W18)</f>
        <v>90.441873718361464</v>
      </c>
      <c r="AJ18" s="8">
        <f t="shared" si="6"/>
        <v>8.3320618756819211</v>
      </c>
      <c r="AK18" s="5">
        <f t="shared" si="7"/>
        <v>0.64344221076838104</v>
      </c>
      <c r="AL18" s="5">
        <f t="shared" si="8"/>
        <v>7.7420430312797528</v>
      </c>
      <c r="AM18" s="12">
        <f t="shared" si="9"/>
        <v>7.0480185288169074E-4</v>
      </c>
      <c r="AN18" s="5">
        <f t="shared" si="10"/>
        <v>9.1280128591506277E-2</v>
      </c>
      <c r="AO18" s="5">
        <f t="shared" si="11"/>
        <v>54.776434664940382</v>
      </c>
      <c r="AP18" s="10">
        <v>10.935641297324029</v>
      </c>
      <c r="AQ18" s="10">
        <v>0.5276219982039696</v>
      </c>
      <c r="AR18" s="10">
        <f t="shared" si="12"/>
        <v>0.877719331291271</v>
      </c>
      <c r="AS18" s="13">
        <f t="shared" si="13"/>
        <v>0.12256814263484087</v>
      </c>
      <c r="AT18" s="10">
        <f t="shared" si="14"/>
        <v>1.9962983282281754</v>
      </c>
      <c r="AU18" s="10">
        <f t="shared" si="15"/>
        <v>5.0043277206927535E-2</v>
      </c>
      <c r="AV18" s="11">
        <f t="shared" si="16"/>
        <v>8.1075904459698562E-5</v>
      </c>
      <c r="AW18" s="25">
        <f>AM18+'Grid-BC'!L42</f>
        <v>7.0480185288169074E-4</v>
      </c>
      <c r="AX18" s="10">
        <f t="shared" si="17"/>
        <v>0.19362483722791801</v>
      </c>
      <c r="AY18" s="23">
        <f t="shared" si="18"/>
        <v>0.64107545703422719</v>
      </c>
      <c r="AZ18" s="9">
        <f t="shared" si="19"/>
        <v>21.414948766690312</v>
      </c>
      <c r="BA18" s="9">
        <f t="shared" si="20"/>
        <v>2.1437382946021379E-3</v>
      </c>
      <c r="BB18" s="5">
        <f t="shared" si="21"/>
        <v>5.4098257191746475</v>
      </c>
      <c r="BC18" s="12">
        <f t="shared" si="22"/>
        <v>2.6180896828020537E-3</v>
      </c>
      <c r="BD18" s="28">
        <f t="shared" si="23"/>
        <v>0.13263383234139542</v>
      </c>
    </row>
    <row r="19" spans="13:56" x14ac:dyDescent="0.2">
      <c r="M19" s="8">
        <f>IF(US!$W19&gt;DS!$W19,US!A19,DS!A19)</f>
        <v>17</v>
      </c>
      <c r="N19" s="14">
        <f>IF(US!$W19&gt;DS!$W19,US!B19,DS!B19)</f>
        <v>180</v>
      </c>
      <c r="O19" s="14">
        <f>IF(US!$W19&gt;DS!$W19,US!C19,DS!C19)</f>
        <v>10.06500000000001</v>
      </c>
      <c r="P19" s="10">
        <f>IF(US!$W19&gt;DS!$W19,US!D19,DS!D19)</f>
        <v>9.9650000000000105</v>
      </c>
      <c r="Q19" s="8">
        <f>IF(US!$W19&gt;DS!$W19,US!E19,DS!E19)</f>
        <v>10</v>
      </c>
      <c r="R19" s="20">
        <f>IF(US!$W19&gt;DS!$W19,US!F19,DS!F19)</f>
        <v>0</v>
      </c>
      <c r="S19" s="20">
        <f>IF(US!$W19&gt;DS!$W19,US!G19,DS!G19)</f>
        <v>0</v>
      </c>
      <c r="T19" s="9">
        <f>IF(US!$W19&gt;DS!$W19,US!H19,DS!H19)</f>
        <v>1.0231438844279075</v>
      </c>
      <c r="U19" s="9">
        <f>IF(US!$W19&gt;DS!$W19,US!I19,DS!I19)</f>
        <v>11.088143884427918</v>
      </c>
      <c r="V19" s="9">
        <f>IF(US!$W19&gt;DS!$W19,US!J19,DS!J19)</f>
        <v>20</v>
      </c>
      <c r="W19" s="10">
        <f>IF(US!$W19&gt;DS!$W19,US!K19,DS!K19)</f>
        <v>1.4508717894715074E-2</v>
      </c>
      <c r="X19" s="9">
        <f>IF(US!$W19&gt;DS!$W19,US!L19,DS!L19)</f>
        <v>10</v>
      </c>
      <c r="Y19" s="9">
        <f>IF(US!$W19&gt;DS!$W19,US!M19,DS!M19)</f>
        <v>10.231438844279076</v>
      </c>
      <c r="Z19" s="9">
        <f>IF(US!$W19&gt;DS!$W19,US!N19,DS!N19)</f>
        <v>12.046287768855816</v>
      </c>
      <c r="AA19" s="9">
        <f>IF(US!$W19&gt;DS!$W19,US!O19,DS!O19)</f>
        <v>0.84934371821426957</v>
      </c>
      <c r="AB19" s="9">
        <f>IF(US!$W19&gt;DS!$W19,US!P19,DS!P19)</f>
        <v>1.9547592772040103</v>
      </c>
      <c r="AC19" s="9">
        <f>IF(US!$W19&gt;DS!$W19,US!Q19,DS!Q19)</f>
        <v>3.168129022978353</v>
      </c>
      <c r="AD19" s="5">
        <f>IF(US!$W19&gt;DS!$W19,US!R19,DS!R19)</f>
        <v>0.61700747129494882</v>
      </c>
      <c r="AE19" s="10">
        <f>IF(US!$W19&gt;DS!$W19,US!S19,DS!S19)</f>
        <v>11.28289841204337</v>
      </c>
      <c r="AF19" s="12">
        <f>IF(US!$W19&gt;DS!$W19,US!T19,DS!T19)</f>
        <v>9.9999999999999243E-4</v>
      </c>
      <c r="AG19" s="13">
        <f>IF(US!$W19&gt;DS!$W19,US!U19,DS!U19)</f>
        <v>6.7183733929156691E-31</v>
      </c>
      <c r="AH19" s="5">
        <f>IF(US!$W19&gt;DS!$W19,US!V19,DS!V19)</f>
        <v>0.51157194221395375</v>
      </c>
      <c r="AI19" s="5">
        <f>IF(US!$W19&gt;DS!$W19,US!W19,DS!W19)</f>
        <v>90.441873718361464</v>
      </c>
      <c r="AJ19" s="8">
        <f t="shared" si="6"/>
        <v>8.3320618756819211</v>
      </c>
      <c r="AK19" s="5">
        <f t="shared" si="7"/>
        <v>0.64344221076838104</v>
      </c>
      <c r="AL19" s="5">
        <f t="shared" si="8"/>
        <v>7.7420430312797528</v>
      </c>
      <c r="AM19" s="12">
        <f t="shared" si="9"/>
        <v>7.0480185288169074E-4</v>
      </c>
      <c r="AN19" s="5">
        <f t="shared" si="10"/>
        <v>9.1280128591506277E-2</v>
      </c>
      <c r="AO19" s="5">
        <f t="shared" si="11"/>
        <v>54.776434664940382</v>
      </c>
      <c r="AP19" s="10">
        <v>10.935641297324029</v>
      </c>
      <c r="AQ19" s="10">
        <v>0.5276219982039696</v>
      </c>
      <c r="AR19" s="10">
        <f t="shared" si="12"/>
        <v>0.877719331291271</v>
      </c>
      <c r="AS19" s="13">
        <f t="shared" si="13"/>
        <v>0.12256814263484087</v>
      </c>
      <c r="AT19" s="10">
        <f t="shared" si="14"/>
        <v>1.9962983282281754</v>
      </c>
      <c r="AU19" s="10">
        <f t="shared" si="15"/>
        <v>5.0043277206927535E-2</v>
      </c>
      <c r="AV19" s="11">
        <f t="shared" si="16"/>
        <v>8.1075904459698562E-5</v>
      </c>
      <c r="AW19" s="25">
        <f>AM19+'Grid-BC'!L43</f>
        <v>7.0480185288169074E-4</v>
      </c>
      <c r="AX19" s="10">
        <f t="shared" si="17"/>
        <v>0.19362483722791801</v>
      </c>
      <c r="AY19" s="23">
        <f t="shared" si="18"/>
        <v>0.64107545703422719</v>
      </c>
      <c r="AZ19" s="9">
        <f t="shared" si="19"/>
        <v>21.414948766690312</v>
      </c>
      <c r="BA19" s="9">
        <f t="shared" si="20"/>
        <v>2.1437382946021379E-3</v>
      </c>
      <c r="BB19" s="5">
        <f t="shared" si="21"/>
        <v>5.4098257191746475</v>
      </c>
      <c r="BC19" s="12">
        <f t="shared" si="22"/>
        <v>2.6180896828020537E-3</v>
      </c>
      <c r="BD19" s="28">
        <f t="shared" si="23"/>
        <v>0.13263383234139542</v>
      </c>
    </row>
    <row r="20" spans="13:56" x14ac:dyDescent="0.2">
      <c r="M20" s="8">
        <f>IF(US!$W20&gt;DS!$W20,US!A20,DS!A20)</f>
        <v>18</v>
      </c>
      <c r="N20" s="14">
        <f>IF(US!$W20&gt;DS!$W20,US!B20,DS!B20)</f>
        <v>185</v>
      </c>
      <c r="O20" s="14">
        <f>IF(US!$W20&gt;DS!$W20,US!C20,DS!C20)</f>
        <v>10.060000000000009</v>
      </c>
      <c r="P20" s="10">
        <f>IF(US!$W20&gt;DS!$W20,US!D20,DS!D20)</f>
        <v>9.9600000000000097</v>
      </c>
      <c r="Q20" s="8">
        <f>IF(US!$W20&gt;DS!$W20,US!E20,DS!E20)</f>
        <v>10</v>
      </c>
      <c r="R20" s="20">
        <f>IF(US!$W20&gt;DS!$W20,US!F20,DS!F20)</f>
        <v>0</v>
      </c>
      <c r="S20" s="20">
        <f>IF(US!$W20&gt;DS!$W20,US!G20,DS!G20)</f>
        <v>0</v>
      </c>
      <c r="T20" s="9">
        <f>IF(US!$W20&gt;DS!$W20,US!H20,DS!H20)</f>
        <v>1.0231438844279075</v>
      </c>
      <c r="U20" s="9">
        <f>IF(US!$W20&gt;DS!$W20,US!I20,DS!I20)</f>
        <v>11.083143884427917</v>
      </c>
      <c r="V20" s="9">
        <f>IF(US!$W20&gt;DS!$W20,US!J20,DS!J20)</f>
        <v>20</v>
      </c>
      <c r="W20" s="10">
        <f>IF(US!$W20&gt;DS!$W20,US!K20,DS!K20)</f>
        <v>1.4508717894715074E-2</v>
      </c>
      <c r="X20" s="9">
        <f>IF(US!$W20&gt;DS!$W20,US!L20,DS!L20)</f>
        <v>10</v>
      </c>
      <c r="Y20" s="9">
        <f>IF(US!$W20&gt;DS!$W20,US!M20,DS!M20)</f>
        <v>10.231438844279076</v>
      </c>
      <c r="Z20" s="9">
        <f>IF(US!$W20&gt;DS!$W20,US!N20,DS!N20)</f>
        <v>12.046287768855816</v>
      </c>
      <c r="AA20" s="9">
        <f>IF(US!$W20&gt;DS!$W20,US!O20,DS!O20)</f>
        <v>0.84934371821426957</v>
      </c>
      <c r="AB20" s="9">
        <f>IF(US!$W20&gt;DS!$W20,US!P20,DS!P20)</f>
        <v>1.9547592772040103</v>
      </c>
      <c r="AC20" s="9">
        <f>IF(US!$W20&gt;DS!$W20,US!Q20,DS!Q20)</f>
        <v>3.168129022978353</v>
      </c>
      <c r="AD20" s="5">
        <f>IF(US!$W20&gt;DS!$W20,US!R20,DS!R20)</f>
        <v>0.61700747129494882</v>
      </c>
      <c r="AE20" s="10">
        <f>IF(US!$W20&gt;DS!$W20,US!S20,DS!S20)</f>
        <v>11.277898412043369</v>
      </c>
      <c r="AF20" s="12">
        <f>IF(US!$W20&gt;DS!$W20,US!T20,DS!T20)</f>
        <v>9.9999999999999243E-4</v>
      </c>
      <c r="AG20" s="13">
        <f>IF(US!$W20&gt;DS!$W20,US!U20,DS!U20)</f>
        <v>6.7183733929156691E-31</v>
      </c>
      <c r="AH20" s="5">
        <f>IF(US!$W20&gt;DS!$W20,US!V20,DS!V20)</f>
        <v>0.51157194221395375</v>
      </c>
      <c r="AI20" s="5">
        <f>IF(US!$W20&gt;DS!$W20,US!W20,DS!W20)</f>
        <v>90.441873718361464</v>
      </c>
      <c r="AJ20" s="8">
        <f t="shared" si="6"/>
        <v>8.3320618756819211</v>
      </c>
      <c r="AK20" s="5">
        <f t="shared" si="7"/>
        <v>0.64344221076838104</v>
      </c>
      <c r="AL20" s="5">
        <f t="shared" si="8"/>
        <v>7.7420430312797528</v>
      </c>
      <c r="AM20" s="12">
        <f t="shared" si="9"/>
        <v>7.0480185288169074E-4</v>
      </c>
      <c r="AN20" s="5">
        <f t="shared" si="10"/>
        <v>9.1280128591506277E-2</v>
      </c>
      <c r="AO20" s="5">
        <f t="shared" si="11"/>
        <v>54.776434664940382</v>
      </c>
      <c r="AP20" s="10">
        <v>10.935641297324029</v>
      </c>
      <c r="AQ20" s="10">
        <v>0.5276219982039696</v>
      </c>
      <c r="AR20" s="10">
        <f t="shared" si="12"/>
        <v>0.877719331291271</v>
      </c>
      <c r="AS20" s="13">
        <f t="shared" si="13"/>
        <v>0.12256814263484087</v>
      </c>
      <c r="AT20" s="10">
        <f t="shared" si="14"/>
        <v>1.9962983282281754</v>
      </c>
      <c r="AU20" s="10">
        <f t="shared" si="15"/>
        <v>5.0043277206927535E-2</v>
      </c>
      <c r="AV20" s="11">
        <f t="shared" si="16"/>
        <v>8.1075904459698562E-5</v>
      </c>
      <c r="AW20" s="25">
        <f>AM20+'Grid-BC'!L44</f>
        <v>7.0480185288169074E-4</v>
      </c>
      <c r="AX20" s="10">
        <f t="shared" si="17"/>
        <v>0.19362483722791801</v>
      </c>
      <c r="AY20" s="23">
        <f t="shared" si="18"/>
        <v>0.64107545703422719</v>
      </c>
      <c r="AZ20" s="9">
        <f t="shared" si="19"/>
        <v>21.414948766690312</v>
      </c>
      <c r="BA20" s="9">
        <f t="shared" si="20"/>
        <v>2.1437382946021379E-3</v>
      </c>
      <c r="BB20" s="5">
        <f t="shared" si="21"/>
        <v>5.4098257191746475</v>
      </c>
      <c r="BC20" s="12">
        <f t="shared" si="22"/>
        <v>2.6180896828020537E-3</v>
      </c>
      <c r="BD20" s="28">
        <f t="shared" si="23"/>
        <v>0.13263383234139542</v>
      </c>
    </row>
    <row r="21" spans="13:56" x14ac:dyDescent="0.2">
      <c r="M21" s="8">
        <f>IF(US!$W21&gt;DS!$W21,US!A21,DS!A21)</f>
        <v>19</v>
      </c>
      <c r="N21" s="14">
        <f>IF(US!$W21&gt;DS!$W21,US!B21,DS!B21)</f>
        <v>190</v>
      </c>
      <c r="O21" s="14">
        <f>IF(US!$W21&gt;DS!$W21,US!C21,DS!C21)</f>
        <v>10.055000000000009</v>
      </c>
      <c r="P21" s="10">
        <f>IF(US!$W21&gt;DS!$W21,US!D21,DS!D21)</f>
        <v>9.955000000000009</v>
      </c>
      <c r="Q21" s="8">
        <f>IF(US!$W21&gt;DS!$W21,US!E21,DS!E21)</f>
        <v>10</v>
      </c>
      <c r="R21" s="20">
        <f>IF(US!$W21&gt;DS!$W21,US!F21,DS!F21)</f>
        <v>0</v>
      </c>
      <c r="S21" s="20">
        <f>IF(US!$W21&gt;DS!$W21,US!G21,DS!G21)</f>
        <v>0</v>
      </c>
      <c r="T21" s="9">
        <f>IF(US!$W21&gt;DS!$W21,US!H21,DS!H21)</f>
        <v>1.0231438844279075</v>
      </c>
      <c r="U21" s="9">
        <f>IF(US!$W21&gt;DS!$W21,US!I21,DS!I21)</f>
        <v>11.078143884427917</v>
      </c>
      <c r="V21" s="9">
        <f>IF(US!$W21&gt;DS!$W21,US!J21,DS!J21)</f>
        <v>20</v>
      </c>
      <c r="W21" s="10">
        <f>IF(US!$W21&gt;DS!$W21,US!K21,DS!K21)</f>
        <v>1.4508717894715074E-2</v>
      </c>
      <c r="X21" s="9">
        <f>IF(US!$W21&gt;DS!$W21,US!L21,DS!L21)</f>
        <v>10</v>
      </c>
      <c r="Y21" s="9">
        <f>IF(US!$W21&gt;DS!$W21,US!M21,DS!M21)</f>
        <v>10.231438844279076</v>
      </c>
      <c r="Z21" s="9">
        <f>IF(US!$W21&gt;DS!$W21,US!N21,DS!N21)</f>
        <v>12.046287768855816</v>
      </c>
      <c r="AA21" s="9">
        <f>IF(US!$W21&gt;DS!$W21,US!O21,DS!O21)</f>
        <v>0.84934371821426957</v>
      </c>
      <c r="AB21" s="9">
        <f>IF(US!$W21&gt;DS!$W21,US!P21,DS!P21)</f>
        <v>1.9547592772040103</v>
      </c>
      <c r="AC21" s="9">
        <f>IF(US!$W21&gt;DS!$W21,US!Q21,DS!Q21)</f>
        <v>3.168129022978353</v>
      </c>
      <c r="AD21" s="5">
        <f>IF(US!$W21&gt;DS!$W21,US!R21,DS!R21)</f>
        <v>0.61700747129494882</v>
      </c>
      <c r="AE21" s="10">
        <f>IF(US!$W21&gt;DS!$W21,US!S21,DS!S21)</f>
        <v>11.272898412043368</v>
      </c>
      <c r="AF21" s="12">
        <f>IF(US!$W21&gt;DS!$W21,US!T21,DS!T21)</f>
        <v>9.9999999999999243E-4</v>
      </c>
      <c r="AG21" s="13">
        <f>IF(US!$W21&gt;DS!$W21,US!U21,DS!U21)</f>
        <v>6.7183733929156691E-31</v>
      </c>
      <c r="AH21" s="5">
        <f>IF(US!$W21&gt;DS!$W21,US!V21,DS!V21)</f>
        <v>0.51157194221395375</v>
      </c>
      <c r="AI21" s="5">
        <f>IF(US!$W21&gt;DS!$W21,US!W21,DS!W21)</f>
        <v>90.441873718361464</v>
      </c>
      <c r="AJ21" s="8">
        <f t="shared" si="6"/>
        <v>8.3320618756819211</v>
      </c>
      <c r="AK21" s="5">
        <f t="shared" si="7"/>
        <v>0.64344221076838104</v>
      </c>
      <c r="AL21" s="5">
        <f t="shared" si="8"/>
        <v>7.7420430312797528</v>
      </c>
      <c r="AM21" s="12">
        <f t="shared" si="9"/>
        <v>7.0480185288169074E-4</v>
      </c>
      <c r="AN21" s="5">
        <f t="shared" si="10"/>
        <v>9.1280128591506277E-2</v>
      </c>
      <c r="AO21" s="5">
        <f t="shared" si="11"/>
        <v>54.776434664940382</v>
      </c>
      <c r="AP21" s="10">
        <v>10.935641297324029</v>
      </c>
      <c r="AQ21" s="10">
        <v>0.5276219982039696</v>
      </c>
      <c r="AR21" s="10">
        <f t="shared" si="12"/>
        <v>0.877719331291271</v>
      </c>
      <c r="AS21" s="13">
        <f t="shared" si="13"/>
        <v>0.12256814263484087</v>
      </c>
      <c r="AT21" s="10">
        <f t="shared" si="14"/>
        <v>1.9962983282281754</v>
      </c>
      <c r="AU21" s="10">
        <f t="shared" si="15"/>
        <v>5.0043277206927535E-2</v>
      </c>
      <c r="AV21" s="11">
        <f t="shared" si="16"/>
        <v>8.1075904459698562E-5</v>
      </c>
      <c r="AW21" s="25">
        <f>AM21+'Grid-BC'!L45</f>
        <v>7.0480185288169074E-4</v>
      </c>
      <c r="AX21" s="10">
        <f t="shared" si="17"/>
        <v>0.19362483722791801</v>
      </c>
      <c r="AY21" s="23">
        <f t="shared" si="18"/>
        <v>0.64107545703422719</v>
      </c>
      <c r="AZ21" s="9">
        <f t="shared" si="19"/>
        <v>21.414948766690312</v>
      </c>
      <c r="BA21" s="9">
        <f t="shared" si="20"/>
        <v>2.1437382946021379E-3</v>
      </c>
      <c r="BB21" s="5">
        <f t="shared" si="21"/>
        <v>5.4098257191746475</v>
      </c>
      <c r="BC21" s="12">
        <f t="shared" si="22"/>
        <v>2.6180896828020537E-3</v>
      </c>
      <c r="BD21" s="28">
        <f t="shared" si="23"/>
        <v>0.13263383234139542</v>
      </c>
    </row>
    <row r="22" spans="13:56" x14ac:dyDescent="0.2">
      <c r="M22" s="8">
        <f>IF(US!$W22&gt;DS!$W22,US!A22,DS!A22)</f>
        <v>20</v>
      </c>
      <c r="N22" s="14">
        <f>IF(US!$W22&gt;DS!$W22,US!B22,DS!B22)</f>
        <v>195</v>
      </c>
      <c r="O22" s="14">
        <f>IF(US!$W22&gt;DS!$W22,US!C22,DS!C22)</f>
        <v>10.050000000000008</v>
      </c>
      <c r="P22" s="10">
        <f>IF(US!$W22&gt;DS!$W22,US!D22,DS!D22)</f>
        <v>9.9500000000000082</v>
      </c>
      <c r="Q22" s="8">
        <f>IF(US!$W22&gt;DS!$W22,US!E22,DS!E22)</f>
        <v>10</v>
      </c>
      <c r="R22" s="20">
        <f>IF(US!$W22&gt;DS!$W22,US!F22,DS!F22)</f>
        <v>0</v>
      </c>
      <c r="S22" s="20">
        <f>IF(US!$W22&gt;DS!$W22,US!G22,DS!G22)</f>
        <v>0</v>
      </c>
      <c r="T22" s="9">
        <f>IF(US!$W22&gt;DS!$W22,US!H22,DS!H22)</f>
        <v>1.0231438844279075</v>
      </c>
      <c r="U22" s="9">
        <f>IF(US!$W22&gt;DS!$W22,US!I22,DS!I22)</f>
        <v>11.073143884427916</v>
      </c>
      <c r="V22" s="9">
        <f>IF(US!$W22&gt;DS!$W22,US!J22,DS!J22)</f>
        <v>20</v>
      </c>
      <c r="W22" s="10">
        <f>IF(US!$W22&gt;DS!$W22,US!K22,DS!K22)</f>
        <v>1.4508717894715074E-2</v>
      </c>
      <c r="X22" s="9">
        <f>IF(US!$W22&gt;DS!$W22,US!L22,DS!L22)</f>
        <v>10</v>
      </c>
      <c r="Y22" s="9">
        <f>IF(US!$W22&gt;DS!$W22,US!M22,DS!M22)</f>
        <v>10.231438844279076</v>
      </c>
      <c r="Z22" s="9">
        <f>IF(US!$W22&gt;DS!$W22,US!N22,DS!N22)</f>
        <v>12.046287768855816</v>
      </c>
      <c r="AA22" s="9">
        <f>IF(US!$W22&gt;DS!$W22,US!O22,DS!O22)</f>
        <v>0.84934371821426957</v>
      </c>
      <c r="AB22" s="9">
        <f>IF(US!$W22&gt;DS!$W22,US!P22,DS!P22)</f>
        <v>1.9547592772040103</v>
      </c>
      <c r="AC22" s="9">
        <f>IF(US!$W22&gt;DS!$W22,US!Q22,DS!Q22)</f>
        <v>3.168129022978353</v>
      </c>
      <c r="AD22" s="5">
        <f>IF(US!$W22&gt;DS!$W22,US!R22,DS!R22)</f>
        <v>0.61700747129494882</v>
      </c>
      <c r="AE22" s="10">
        <f>IF(US!$W22&gt;DS!$W22,US!S22,DS!S22)</f>
        <v>11.267898412043367</v>
      </c>
      <c r="AF22" s="12">
        <f>IF(US!$W22&gt;DS!$W22,US!T22,DS!T22)</f>
        <v>9.9999999999999243E-4</v>
      </c>
      <c r="AG22" s="13">
        <f>IF(US!$W22&gt;DS!$W22,US!U22,DS!U22)</f>
        <v>6.7183733929156691E-31</v>
      </c>
      <c r="AH22" s="5">
        <f>IF(US!$W22&gt;DS!$W22,US!V22,DS!V22)</f>
        <v>0.51157194221395375</v>
      </c>
      <c r="AI22" s="5">
        <f>IF(US!$W22&gt;DS!$W22,US!W22,DS!W22)</f>
        <v>90.441873718361464</v>
      </c>
      <c r="AJ22" s="8">
        <f t="shared" si="6"/>
        <v>8.3320618756819211</v>
      </c>
      <c r="AK22" s="5">
        <f t="shared" si="7"/>
        <v>0.64344221076838104</v>
      </c>
      <c r="AL22" s="5">
        <f t="shared" si="8"/>
        <v>7.7420430312797528</v>
      </c>
      <c r="AM22" s="12">
        <f t="shared" si="9"/>
        <v>7.0480185288169074E-4</v>
      </c>
      <c r="AN22" s="5">
        <f t="shared" si="10"/>
        <v>9.1280128591506277E-2</v>
      </c>
      <c r="AO22" s="5">
        <f t="shared" si="11"/>
        <v>54.776434664940382</v>
      </c>
      <c r="AP22" s="10">
        <v>10.935641297324029</v>
      </c>
      <c r="AQ22" s="10">
        <v>0.5276219982039696</v>
      </c>
      <c r="AR22" s="10">
        <f t="shared" si="12"/>
        <v>0.877719331291271</v>
      </c>
      <c r="AS22" s="13">
        <f t="shared" si="13"/>
        <v>0.12256814263484087</v>
      </c>
      <c r="AT22" s="10">
        <f t="shared" si="14"/>
        <v>1.9962983282281754</v>
      </c>
      <c r="AU22" s="10">
        <f t="shared" si="15"/>
        <v>5.0043277206927535E-2</v>
      </c>
      <c r="AV22" s="11">
        <f t="shared" si="16"/>
        <v>8.1075904459698562E-5</v>
      </c>
      <c r="AW22" s="25">
        <f>AM22+'Grid-BC'!L46</f>
        <v>7.0480185288169074E-4</v>
      </c>
      <c r="AX22" s="10">
        <f t="shared" si="17"/>
        <v>0.19362483722791801</v>
      </c>
      <c r="AY22" s="23">
        <f t="shared" si="18"/>
        <v>0.64107545703422719</v>
      </c>
      <c r="AZ22" s="9">
        <f t="shared" si="19"/>
        <v>21.414948766690312</v>
      </c>
      <c r="BA22" s="9">
        <f t="shared" si="20"/>
        <v>2.1437382946021379E-3</v>
      </c>
      <c r="BB22" s="5">
        <f t="shared" si="21"/>
        <v>5.4098257191746475</v>
      </c>
      <c r="BC22" s="12">
        <f t="shared" si="22"/>
        <v>2.6180896828020537E-3</v>
      </c>
      <c r="BD22" s="28">
        <f t="shared" si="23"/>
        <v>0.13263383234139542</v>
      </c>
    </row>
    <row r="23" spans="13:56" x14ac:dyDescent="0.2">
      <c r="M23" s="8">
        <f>IF(US!$W23&gt;DS!$W23,US!A23,DS!A23)</f>
        <v>21</v>
      </c>
      <c r="N23" s="14">
        <f>IF(US!$W23&gt;DS!$W23,US!B23,DS!B23)</f>
        <v>200</v>
      </c>
      <c r="O23" s="14">
        <f>IF(US!$W23&gt;DS!$W23,US!C23,DS!C23)</f>
        <v>10.045000000000007</v>
      </c>
      <c r="P23" s="10">
        <f>IF(US!$W23&gt;DS!$W23,US!D23,DS!D23)</f>
        <v>9.9450000000000074</v>
      </c>
      <c r="Q23" s="8">
        <f>IF(US!$W23&gt;DS!$W23,US!E23,DS!E23)</f>
        <v>10</v>
      </c>
      <c r="R23" s="20">
        <f>IF(US!$W23&gt;DS!$W23,US!F23,DS!F23)</f>
        <v>0</v>
      </c>
      <c r="S23" s="20">
        <f>IF(US!$W23&gt;DS!$W23,US!G23,DS!G23)</f>
        <v>0</v>
      </c>
      <c r="T23" s="9">
        <f>IF(US!$W23&gt;DS!$W23,US!H23,DS!H23)</f>
        <v>1.0231438844279075</v>
      </c>
      <c r="U23" s="9">
        <f>IF(US!$W23&gt;DS!$W23,US!I23,DS!I23)</f>
        <v>11.068143884427915</v>
      </c>
      <c r="V23" s="9">
        <f>IF(US!$W23&gt;DS!$W23,US!J23,DS!J23)</f>
        <v>20</v>
      </c>
      <c r="W23" s="10">
        <f>IF(US!$W23&gt;DS!$W23,US!K23,DS!K23)</f>
        <v>1.4508717894715074E-2</v>
      </c>
      <c r="X23" s="9">
        <f>IF(US!$W23&gt;DS!$W23,US!L23,DS!L23)</f>
        <v>10</v>
      </c>
      <c r="Y23" s="9">
        <f>IF(US!$W23&gt;DS!$W23,US!M23,DS!M23)</f>
        <v>10.231438844279076</v>
      </c>
      <c r="Z23" s="9">
        <f>IF(US!$W23&gt;DS!$W23,US!N23,DS!N23)</f>
        <v>12.046287768855816</v>
      </c>
      <c r="AA23" s="9">
        <f>IF(US!$W23&gt;DS!$W23,US!O23,DS!O23)</f>
        <v>0.84934371821426957</v>
      </c>
      <c r="AB23" s="9">
        <f>IF(US!$W23&gt;DS!$W23,US!P23,DS!P23)</f>
        <v>1.9547592772040103</v>
      </c>
      <c r="AC23" s="9">
        <f>IF(US!$W23&gt;DS!$W23,US!Q23,DS!Q23)</f>
        <v>3.168129022978353</v>
      </c>
      <c r="AD23" s="5">
        <f>IF(US!$W23&gt;DS!$W23,US!R23,DS!R23)</f>
        <v>0.61700747129494882</v>
      </c>
      <c r="AE23" s="10">
        <f>IF(US!$W23&gt;DS!$W23,US!S23,DS!S23)</f>
        <v>11.262898412043366</v>
      </c>
      <c r="AF23" s="12">
        <f>IF(US!$W23&gt;DS!$W23,US!T23,DS!T23)</f>
        <v>9.9999999999999243E-4</v>
      </c>
      <c r="AG23" s="13">
        <f>IF(US!$W23&gt;DS!$W23,US!U23,DS!U23)</f>
        <v>6.7183733929156691E-31</v>
      </c>
      <c r="AH23" s="5">
        <f>IF(US!$W23&gt;DS!$W23,US!V23,DS!V23)</f>
        <v>0.51157194221395375</v>
      </c>
      <c r="AI23" s="5">
        <f>IF(US!$W23&gt;DS!$W23,US!W23,DS!W23)</f>
        <v>90.441873718361464</v>
      </c>
      <c r="AJ23" s="8">
        <f t="shared" si="6"/>
        <v>8.3320618756819211</v>
      </c>
      <c r="AK23" s="5">
        <f t="shared" si="7"/>
        <v>0.64344221076838104</v>
      </c>
      <c r="AL23" s="5">
        <f t="shared" si="8"/>
        <v>7.7420430312797528</v>
      </c>
      <c r="AM23" s="12">
        <f t="shared" si="9"/>
        <v>7.0480185288169074E-4</v>
      </c>
      <c r="AN23" s="5">
        <f t="shared" si="10"/>
        <v>9.1280128591506277E-2</v>
      </c>
      <c r="AO23" s="5">
        <f t="shared" si="11"/>
        <v>54.776434664940382</v>
      </c>
      <c r="AP23" s="10">
        <v>10.935641297324029</v>
      </c>
      <c r="AQ23" s="10">
        <v>0.5276219982039696</v>
      </c>
      <c r="AR23" s="10">
        <f t="shared" si="12"/>
        <v>0.877719331291271</v>
      </c>
      <c r="AS23" s="13">
        <f t="shared" si="13"/>
        <v>0.12256814263484087</v>
      </c>
      <c r="AT23" s="10">
        <f t="shared" si="14"/>
        <v>1.9962983282281754</v>
      </c>
      <c r="AU23" s="10">
        <f t="shared" si="15"/>
        <v>5.0043277206927535E-2</v>
      </c>
      <c r="AV23" s="11">
        <f t="shared" si="16"/>
        <v>8.1075904459698562E-5</v>
      </c>
      <c r="AW23" s="25">
        <f>AM23+'Grid-BC'!L47</f>
        <v>7.0480185288169074E-4</v>
      </c>
      <c r="AX23" s="10">
        <f t="shared" si="17"/>
        <v>0.19362483722791801</v>
      </c>
      <c r="AY23" s="23">
        <f t="shared" si="18"/>
        <v>0.64107545703422719</v>
      </c>
      <c r="AZ23" s="9">
        <f t="shared" si="19"/>
        <v>21.414948766690312</v>
      </c>
      <c r="BA23" s="9">
        <f t="shared" si="20"/>
        <v>2.1437382946021379E-3</v>
      </c>
      <c r="BB23" s="5">
        <f t="shared" si="21"/>
        <v>5.4098257191746475</v>
      </c>
      <c r="BC23" s="12">
        <f t="shared" si="22"/>
        <v>2.6180896828020537E-3</v>
      </c>
      <c r="BD23" s="28">
        <f t="shared" si="23"/>
        <v>0.13263383234139542</v>
      </c>
    </row>
    <row r="24" spans="13:56" x14ac:dyDescent="0.2">
      <c r="M24" s="8">
        <f>IF(US!$W24&gt;DS!$W24,US!A24,DS!A24)</f>
        <v>22</v>
      </c>
      <c r="N24" s="14">
        <f>IF(US!$W24&gt;DS!$W24,US!B24,DS!B24)</f>
        <v>205</v>
      </c>
      <c r="O24" s="14">
        <f>IF(US!$W24&gt;DS!$W24,US!C24,DS!C24)</f>
        <v>10.040000000000006</v>
      </c>
      <c r="P24" s="10">
        <f>IF(US!$W24&gt;DS!$W24,US!D24,DS!D24)</f>
        <v>9.9400000000000066</v>
      </c>
      <c r="Q24" s="8">
        <f>IF(US!$W24&gt;DS!$W24,US!E24,DS!E24)</f>
        <v>10</v>
      </c>
      <c r="R24" s="20">
        <f>IF(US!$W24&gt;DS!$W24,US!F24,DS!F24)</f>
        <v>0</v>
      </c>
      <c r="S24" s="20">
        <f>IF(US!$W24&gt;DS!$W24,US!G24,DS!G24)</f>
        <v>0</v>
      </c>
      <c r="T24" s="9">
        <f>IF(US!$W24&gt;DS!$W24,US!H24,DS!H24)</f>
        <v>1.0231438844279075</v>
      </c>
      <c r="U24" s="9">
        <f>IF(US!$W24&gt;DS!$W24,US!I24,DS!I24)</f>
        <v>11.063143884427914</v>
      </c>
      <c r="V24" s="9">
        <f>IF(US!$W24&gt;DS!$W24,US!J24,DS!J24)</f>
        <v>20</v>
      </c>
      <c r="W24" s="10">
        <f>IF(US!$W24&gt;DS!$W24,US!K24,DS!K24)</f>
        <v>1.4508717894715074E-2</v>
      </c>
      <c r="X24" s="9">
        <f>IF(US!$W24&gt;DS!$W24,US!L24,DS!L24)</f>
        <v>10</v>
      </c>
      <c r="Y24" s="9">
        <f>IF(US!$W24&gt;DS!$W24,US!M24,DS!M24)</f>
        <v>10.231438844279076</v>
      </c>
      <c r="Z24" s="9">
        <f>IF(US!$W24&gt;DS!$W24,US!N24,DS!N24)</f>
        <v>12.046287768855816</v>
      </c>
      <c r="AA24" s="9">
        <f>IF(US!$W24&gt;DS!$W24,US!O24,DS!O24)</f>
        <v>0.84934371821426957</v>
      </c>
      <c r="AB24" s="9">
        <f>IF(US!$W24&gt;DS!$W24,US!P24,DS!P24)</f>
        <v>1.9547592772040103</v>
      </c>
      <c r="AC24" s="9">
        <f>IF(US!$W24&gt;DS!$W24,US!Q24,DS!Q24)</f>
        <v>3.168129022978353</v>
      </c>
      <c r="AD24" s="5">
        <f>IF(US!$W24&gt;DS!$W24,US!R24,DS!R24)</f>
        <v>0.61700747129494882</v>
      </c>
      <c r="AE24" s="10">
        <f>IF(US!$W24&gt;DS!$W24,US!S24,DS!S24)</f>
        <v>11.257898412043366</v>
      </c>
      <c r="AF24" s="12">
        <f>IF(US!$W24&gt;DS!$W24,US!T24,DS!T24)</f>
        <v>9.9999999999999243E-4</v>
      </c>
      <c r="AG24" s="13">
        <f>IF(US!$W24&gt;DS!$W24,US!U24,DS!U24)</f>
        <v>6.7183733929156691E-31</v>
      </c>
      <c r="AH24" s="5">
        <f>IF(US!$W24&gt;DS!$W24,US!V24,DS!V24)</f>
        <v>0.51157194221395375</v>
      </c>
      <c r="AI24" s="5">
        <f>IF(US!$W24&gt;DS!$W24,US!W24,DS!W24)</f>
        <v>90.441873718361464</v>
      </c>
      <c r="AJ24" s="8">
        <f t="shared" si="6"/>
        <v>8.3320618756819211</v>
      </c>
      <c r="AK24" s="5">
        <f t="shared" si="7"/>
        <v>0.64344221076838104</v>
      </c>
      <c r="AL24" s="5">
        <f t="shared" si="8"/>
        <v>7.7420430312797528</v>
      </c>
      <c r="AM24" s="12">
        <f t="shared" si="9"/>
        <v>7.0480185288169074E-4</v>
      </c>
      <c r="AN24" s="5">
        <f t="shared" si="10"/>
        <v>9.1280128591506277E-2</v>
      </c>
      <c r="AO24" s="5">
        <f t="shared" si="11"/>
        <v>54.776434664940382</v>
      </c>
      <c r="AP24" s="10">
        <v>10.935641297324029</v>
      </c>
      <c r="AQ24" s="10">
        <v>0.5276219982039696</v>
      </c>
      <c r="AR24" s="10">
        <f t="shared" si="12"/>
        <v>0.877719331291271</v>
      </c>
      <c r="AS24" s="13">
        <f t="shared" si="13"/>
        <v>0.12256814263484087</v>
      </c>
      <c r="AT24" s="10">
        <f t="shared" si="14"/>
        <v>1.9962983282281754</v>
      </c>
      <c r="AU24" s="10">
        <f t="shared" si="15"/>
        <v>5.0043277206927535E-2</v>
      </c>
      <c r="AV24" s="11">
        <f t="shared" si="16"/>
        <v>8.1075904459698562E-5</v>
      </c>
      <c r="AW24" s="25">
        <f>AM24+'Grid-BC'!L48</f>
        <v>7.0480185288169074E-4</v>
      </c>
      <c r="AX24" s="10">
        <f t="shared" si="17"/>
        <v>0.19362483722791801</v>
      </c>
      <c r="AY24" s="23">
        <f t="shared" si="18"/>
        <v>0.64107545703422719</v>
      </c>
      <c r="AZ24" s="9">
        <f t="shared" si="19"/>
        <v>21.414948766690312</v>
      </c>
      <c r="BA24" s="9">
        <f t="shared" si="20"/>
        <v>2.1437382946021379E-3</v>
      </c>
      <c r="BB24" s="5">
        <f t="shared" si="21"/>
        <v>5.4098257191746475</v>
      </c>
      <c r="BC24" s="12">
        <f t="shared" si="22"/>
        <v>2.6180896828020537E-3</v>
      </c>
      <c r="BD24" s="28">
        <f t="shared" si="23"/>
        <v>0.13263383234139542</v>
      </c>
    </row>
    <row r="25" spans="13:56" x14ac:dyDescent="0.2">
      <c r="M25" s="8">
        <f>IF(US!$W25&gt;DS!$W25,US!A25,DS!A25)</f>
        <v>23</v>
      </c>
      <c r="N25" s="14">
        <f>IF(US!$W25&gt;DS!$W25,US!B25,DS!B25)</f>
        <v>210</v>
      </c>
      <c r="O25" s="14">
        <f>IF(US!$W25&gt;DS!$W25,US!C25,DS!C25)</f>
        <v>10.035000000000005</v>
      </c>
      <c r="P25" s="10">
        <f>IF(US!$W25&gt;DS!$W25,US!D25,DS!D25)</f>
        <v>9.9350000000000058</v>
      </c>
      <c r="Q25" s="8">
        <f>IF(US!$W25&gt;DS!$W25,US!E25,DS!E25)</f>
        <v>10</v>
      </c>
      <c r="R25" s="20">
        <f>IF(US!$W25&gt;DS!$W25,US!F25,DS!F25)</f>
        <v>0</v>
      </c>
      <c r="S25" s="20">
        <f>IF(US!$W25&gt;DS!$W25,US!G25,DS!G25)</f>
        <v>0</v>
      </c>
      <c r="T25" s="9">
        <f>IF(US!$W25&gt;DS!$W25,US!H25,DS!H25)</f>
        <v>1.0231438844279075</v>
      </c>
      <c r="U25" s="9">
        <f>IF(US!$W25&gt;DS!$W25,US!I25,DS!I25)</f>
        <v>11.058143884427913</v>
      </c>
      <c r="V25" s="9">
        <f>IF(US!$W25&gt;DS!$W25,US!J25,DS!J25)</f>
        <v>20</v>
      </c>
      <c r="W25" s="10">
        <f>IF(US!$W25&gt;DS!$W25,US!K25,DS!K25)</f>
        <v>1.4508717894715074E-2</v>
      </c>
      <c r="X25" s="9">
        <f>IF(US!$W25&gt;DS!$W25,US!L25,DS!L25)</f>
        <v>10</v>
      </c>
      <c r="Y25" s="9">
        <f>IF(US!$W25&gt;DS!$W25,US!M25,DS!M25)</f>
        <v>10.231438844279076</v>
      </c>
      <c r="Z25" s="9">
        <f>IF(US!$W25&gt;DS!$W25,US!N25,DS!N25)</f>
        <v>12.046287768855816</v>
      </c>
      <c r="AA25" s="9">
        <f>IF(US!$W25&gt;DS!$W25,US!O25,DS!O25)</f>
        <v>0.84934371821426957</v>
      </c>
      <c r="AB25" s="9">
        <f>IF(US!$W25&gt;DS!$W25,US!P25,DS!P25)</f>
        <v>1.9547592772040103</v>
      </c>
      <c r="AC25" s="9">
        <f>IF(US!$W25&gt;DS!$W25,US!Q25,DS!Q25)</f>
        <v>3.168129022978353</v>
      </c>
      <c r="AD25" s="5">
        <f>IF(US!$W25&gt;DS!$W25,US!R25,DS!R25)</f>
        <v>0.61700747129494882</v>
      </c>
      <c r="AE25" s="10">
        <f>IF(US!$W25&gt;DS!$W25,US!S25,DS!S25)</f>
        <v>11.252898412043365</v>
      </c>
      <c r="AF25" s="12">
        <f>IF(US!$W25&gt;DS!$W25,US!T25,DS!T25)</f>
        <v>9.9999999999999243E-4</v>
      </c>
      <c r="AG25" s="13">
        <f>IF(US!$W25&gt;DS!$W25,US!U25,DS!U25)</f>
        <v>6.7183733929156691E-31</v>
      </c>
      <c r="AH25" s="5">
        <f>IF(US!$W25&gt;DS!$W25,US!V25,DS!V25)</f>
        <v>0.51157194221395375</v>
      </c>
      <c r="AI25" s="5">
        <f>IF(US!$W25&gt;DS!$W25,US!W25,DS!W25)</f>
        <v>90.441873718361464</v>
      </c>
      <c r="AJ25" s="8">
        <f t="shared" si="6"/>
        <v>8.3320618756819211</v>
      </c>
      <c r="AK25" s="5">
        <f t="shared" si="7"/>
        <v>0.64344221076838104</v>
      </c>
      <c r="AL25" s="5">
        <f t="shared" si="8"/>
        <v>7.7420430312797528</v>
      </c>
      <c r="AM25" s="12">
        <f t="shared" si="9"/>
        <v>7.0480185288169074E-4</v>
      </c>
      <c r="AN25" s="5">
        <f t="shared" si="10"/>
        <v>9.1280128591506277E-2</v>
      </c>
      <c r="AO25" s="5">
        <f t="shared" si="11"/>
        <v>54.776434664940382</v>
      </c>
      <c r="AP25" s="10">
        <v>10.935641297324029</v>
      </c>
      <c r="AQ25" s="10">
        <v>0.5276219982039696</v>
      </c>
      <c r="AR25" s="10">
        <f t="shared" si="12"/>
        <v>0.877719331291271</v>
      </c>
      <c r="AS25" s="13">
        <f t="shared" si="13"/>
        <v>0.12256814263484087</v>
      </c>
      <c r="AT25" s="10">
        <f t="shared" si="14"/>
        <v>1.9962983282281754</v>
      </c>
      <c r="AU25" s="10">
        <f t="shared" si="15"/>
        <v>5.0043277206927535E-2</v>
      </c>
      <c r="AV25" s="11">
        <f t="shared" si="16"/>
        <v>8.1075904459698562E-5</v>
      </c>
      <c r="AW25" s="25">
        <f>AM25+'Grid-BC'!L49</f>
        <v>7.0480185288169074E-4</v>
      </c>
      <c r="AX25" s="10">
        <f t="shared" si="17"/>
        <v>0.19362483722791801</v>
      </c>
      <c r="AY25" s="23">
        <f t="shared" si="18"/>
        <v>0.64107545703422719</v>
      </c>
      <c r="AZ25" s="9">
        <f t="shared" si="19"/>
        <v>21.414948766690312</v>
      </c>
      <c r="BA25" s="9">
        <f t="shared" si="20"/>
        <v>2.1437382946021379E-3</v>
      </c>
      <c r="BB25" s="5">
        <f t="shared" si="21"/>
        <v>5.4098257191746475</v>
      </c>
      <c r="BC25" s="12">
        <f t="shared" si="22"/>
        <v>2.6180896828020537E-3</v>
      </c>
      <c r="BD25" s="28">
        <f t="shared" si="23"/>
        <v>0.13263383234139542</v>
      </c>
    </row>
    <row r="26" spans="13:56" x14ac:dyDescent="0.2">
      <c r="M26" s="8">
        <f>IF(US!$W26&gt;DS!$W26,US!A26,DS!A26)</f>
        <v>24</v>
      </c>
      <c r="N26" s="14">
        <f>IF(US!$W26&gt;DS!$W26,US!B26,DS!B26)</f>
        <v>215</v>
      </c>
      <c r="O26" s="14">
        <f>IF(US!$W26&gt;DS!$W26,US!C26,DS!C26)</f>
        <v>10.030000000000005</v>
      </c>
      <c r="P26" s="10">
        <f>IF(US!$W26&gt;DS!$W26,US!D26,DS!D26)</f>
        <v>9.930000000000005</v>
      </c>
      <c r="Q26" s="8">
        <f>IF(US!$W26&gt;DS!$W26,US!E26,DS!E26)</f>
        <v>10</v>
      </c>
      <c r="R26" s="20">
        <f>IF(US!$W26&gt;DS!$W26,US!F26,DS!F26)</f>
        <v>0</v>
      </c>
      <c r="S26" s="20">
        <f>IF(US!$W26&gt;DS!$W26,US!G26,DS!G26)</f>
        <v>0</v>
      </c>
      <c r="T26" s="9">
        <f>IF(US!$W26&gt;DS!$W26,US!H26,DS!H26)</f>
        <v>1.0231438844279075</v>
      </c>
      <c r="U26" s="9">
        <f>IF(US!$W26&gt;DS!$W26,US!I26,DS!I26)</f>
        <v>11.053143884427913</v>
      </c>
      <c r="V26" s="9">
        <f>IF(US!$W26&gt;DS!$W26,US!J26,DS!J26)</f>
        <v>20</v>
      </c>
      <c r="W26" s="10">
        <f>IF(US!$W26&gt;DS!$W26,US!K26,DS!K26)</f>
        <v>1.4508717894715074E-2</v>
      </c>
      <c r="X26" s="9">
        <f>IF(US!$W26&gt;DS!$W26,US!L26,DS!L26)</f>
        <v>10</v>
      </c>
      <c r="Y26" s="9">
        <f>IF(US!$W26&gt;DS!$W26,US!M26,DS!M26)</f>
        <v>10.231438844279076</v>
      </c>
      <c r="Z26" s="9">
        <f>IF(US!$W26&gt;DS!$W26,US!N26,DS!N26)</f>
        <v>12.046287768855816</v>
      </c>
      <c r="AA26" s="9">
        <f>IF(US!$W26&gt;DS!$W26,US!O26,DS!O26)</f>
        <v>0.84934371821426957</v>
      </c>
      <c r="AB26" s="9">
        <f>IF(US!$W26&gt;DS!$W26,US!P26,DS!P26)</f>
        <v>1.9547592772040103</v>
      </c>
      <c r="AC26" s="9">
        <f>IF(US!$W26&gt;DS!$W26,US!Q26,DS!Q26)</f>
        <v>3.168129022978353</v>
      </c>
      <c r="AD26" s="5">
        <f>IF(US!$W26&gt;DS!$W26,US!R26,DS!R26)</f>
        <v>0.61700747129494882</v>
      </c>
      <c r="AE26" s="10">
        <f>IF(US!$W26&gt;DS!$W26,US!S26,DS!S26)</f>
        <v>11.247898412043364</v>
      </c>
      <c r="AF26" s="12">
        <f>IF(US!$W26&gt;DS!$W26,US!T26,DS!T26)</f>
        <v>9.9999999999999243E-4</v>
      </c>
      <c r="AG26" s="13">
        <f>IF(US!$W26&gt;DS!$W26,US!U26,DS!U26)</f>
        <v>6.7183733929156691E-31</v>
      </c>
      <c r="AH26" s="5">
        <f>IF(US!$W26&gt;DS!$W26,US!V26,DS!V26)</f>
        <v>0.51157194221395375</v>
      </c>
      <c r="AI26" s="5">
        <f>IF(US!$W26&gt;DS!$W26,US!W26,DS!W26)</f>
        <v>90.441873718361464</v>
      </c>
      <c r="AJ26" s="8">
        <f t="shared" si="6"/>
        <v>8.3320618756819211</v>
      </c>
      <c r="AK26" s="5">
        <f t="shared" si="7"/>
        <v>0.64344221076838104</v>
      </c>
      <c r="AL26" s="5">
        <f t="shared" si="8"/>
        <v>7.7420430312797528</v>
      </c>
      <c r="AM26" s="12">
        <f t="shared" si="9"/>
        <v>7.0480185288169074E-4</v>
      </c>
      <c r="AN26" s="5">
        <f t="shared" si="10"/>
        <v>9.1280128591506277E-2</v>
      </c>
      <c r="AO26" s="5">
        <f t="shared" si="11"/>
        <v>54.776434664940382</v>
      </c>
      <c r="AP26" s="10">
        <v>10.935641297324029</v>
      </c>
      <c r="AQ26" s="10">
        <v>0.5276219982039696</v>
      </c>
      <c r="AR26" s="10">
        <f t="shared" si="12"/>
        <v>0.877719331291271</v>
      </c>
      <c r="AS26" s="13">
        <f t="shared" si="13"/>
        <v>0.12256814263484087</v>
      </c>
      <c r="AT26" s="10">
        <f t="shared" si="14"/>
        <v>1.9962983282281754</v>
      </c>
      <c r="AU26" s="10">
        <f t="shared" si="15"/>
        <v>5.0043277206927535E-2</v>
      </c>
      <c r="AV26" s="11">
        <f t="shared" si="16"/>
        <v>8.1075904459698562E-5</v>
      </c>
      <c r="AW26" s="25">
        <f>AM26+'Grid-BC'!L50</f>
        <v>7.0480185288169074E-4</v>
      </c>
      <c r="AX26" s="10">
        <f t="shared" si="17"/>
        <v>0.19362483722791801</v>
      </c>
      <c r="AY26" s="23">
        <f t="shared" si="18"/>
        <v>0.64107545703422719</v>
      </c>
      <c r="AZ26" s="9">
        <f t="shared" si="19"/>
        <v>21.414948766690312</v>
      </c>
      <c r="BA26" s="9">
        <f t="shared" si="20"/>
        <v>2.1437382946021379E-3</v>
      </c>
      <c r="BB26" s="5">
        <f t="shared" si="21"/>
        <v>5.4098257191746475</v>
      </c>
      <c r="BC26" s="12">
        <f t="shared" si="22"/>
        <v>2.6180896828020537E-3</v>
      </c>
      <c r="BD26" s="28">
        <f t="shared" si="23"/>
        <v>0.13263383234139542</v>
      </c>
    </row>
    <row r="27" spans="13:56" x14ac:dyDescent="0.2">
      <c r="M27" s="8">
        <f>IF(US!$W27&gt;DS!$W27,US!A27,DS!A27)</f>
        <v>25</v>
      </c>
      <c r="N27" s="14">
        <f>IF(US!$W27&gt;DS!$W27,US!B27,DS!B27)</f>
        <v>220</v>
      </c>
      <c r="O27" s="14">
        <f>IF(US!$W27&gt;DS!$W27,US!C27,DS!C27)</f>
        <v>10.025000000000004</v>
      </c>
      <c r="P27" s="10">
        <f>IF(US!$W27&gt;DS!$W27,US!D27,DS!D27)</f>
        <v>9.9250000000000043</v>
      </c>
      <c r="Q27" s="8">
        <f>IF(US!$W27&gt;DS!$W27,US!E27,DS!E27)</f>
        <v>10</v>
      </c>
      <c r="R27" s="20">
        <f>IF(US!$W27&gt;DS!$W27,US!F27,DS!F27)</f>
        <v>0</v>
      </c>
      <c r="S27" s="20">
        <f>IF(US!$W27&gt;DS!$W27,US!G27,DS!G27)</f>
        <v>0</v>
      </c>
      <c r="T27" s="9">
        <f>IF(US!$W27&gt;DS!$W27,US!H27,DS!H27)</f>
        <v>1.0231438844279075</v>
      </c>
      <c r="U27" s="9">
        <f>IF(US!$W27&gt;DS!$W27,US!I27,DS!I27)</f>
        <v>11.048143884427912</v>
      </c>
      <c r="V27" s="9">
        <f>IF(US!$W27&gt;DS!$W27,US!J27,DS!J27)</f>
        <v>20</v>
      </c>
      <c r="W27" s="10">
        <f>IF(US!$W27&gt;DS!$W27,US!K27,DS!K27)</f>
        <v>1.4508717894715074E-2</v>
      </c>
      <c r="X27" s="9">
        <f>IF(US!$W27&gt;DS!$W27,US!L27,DS!L27)</f>
        <v>10</v>
      </c>
      <c r="Y27" s="9">
        <f>IF(US!$W27&gt;DS!$W27,US!M27,DS!M27)</f>
        <v>10.231438844279076</v>
      </c>
      <c r="Z27" s="9">
        <f>IF(US!$W27&gt;DS!$W27,US!N27,DS!N27)</f>
        <v>12.046287768855816</v>
      </c>
      <c r="AA27" s="9">
        <f>IF(US!$W27&gt;DS!$W27,US!O27,DS!O27)</f>
        <v>0.84934371821426957</v>
      </c>
      <c r="AB27" s="9">
        <f>IF(US!$W27&gt;DS!$W27,US!P27,DS!P27)</f>
        <v>1.9547592772040103</v>
      </c>
      <c r="AC27" s="9">
        <f>IF(US!$W27&gt;DS!$W27,US!Q27,DS!Q27)</f>
        <v>3.168129022978353</v>
      </c>
      <c r="AD27" s="5">
        <f>IF(US!$W27&gt;DS!$W27,US!R27,DS!R27)</f>
        <v>0.61700747129494882</v>
      </c>
      <c r="AE27" s="10">
        <f>IF(US!$W27&gt;DS!$W27,US!S27,DS!S27)</f>
        <v>11.242898412043363</v>
      </c>
      <c r="AF27" s="12">
        <f>IF(US!$W27&gt;DS!$W27,US!T27,DS!T27)</f>
        <v>9.9999999999999243E-4</v>
      </c>
      <c r="AG27" s="13">
        <f>IF(US!$W27&gt;DS!$W27,US!U27,DS!U27)</f>
        <v>6.7183733929156691E-31</v>
      </c>
      <c r="AH27" s="5">
        <f>IF(US!$W27&gt;DS!$W27,US!V27,DS!V27)</f>
        <v>0.51157194221395375</v>
      </c>
      <c r="AI27" s="5">
        <f>IF(US!$W27&gt;DS!$W27,US!W27,DS!W27)</f>
        <v>90.441873718361464</v>
      </c>
      <c r="AJ27" s="8">
        <f t="shared" si="6"/>
        <v>8.3320618756819211</v>
      </c>
      <c r="AK27" s="5">
        <f t="shared" si="7"/>
        <v>0.64344221076838104</v>
      </c>
      <c r="AL27" s="5">
        <f t="shared" si="8"/>
        <v>7.7420430312797528</v>
      </c>
      <c r="AM27" s="12">
        <f t="shared" si="9"/>
        <v>7.0480185288169074E-4</v>
      </c>
      <c r="AN27" s="5">
        <f t="shared" si="10"/>
        <v>9.1280128591506277E-2</v>
      </c>
      <c r="AO27" s="5">
        <f t="shared" si="11"/>
        <v>54.776434664940382</v>
      </c>
      <c r="AP27" s="10">
        <v>10.935641297324029</v>
      </c>
      <c r="AQ27" s="10">
        <v>0.5276219982039696</v>
      </c>
      <c r="AR27" s="10">
        <f t="shared" si="12"/>
        <v>0.877719331291271</v>
      </c>
      <c r="AS27" s="13">
        <f t="shared" si="13"/>
        <v>0.12256814263484087</v>
      </c>
      <c r="AT27" s="10">
        <f t="shared" si="14"/>
        <v>1.9962983282281754</v>
      </c>
      <c r="AU27" s="10">
        <f t="shared" si="15"/>
        <v>5.0043277206927535E-2</v>
      </c>
      <c r="AV27" s="11">
        <f t="shared" si="16"/>
        <v>8.1075904459698562E-5</v>
      </c>
      <c r="AW27" s="25">
        <f>AM27+'Grid-BC'!L51</f>
        <v>7.0480185288169074E-4</v>
      </c>
      <c r="AX27" s="10">
        <f t="shared" si="17"/>
        <v>0.19362483722791801</v>
      </c>
      <c r="AY27" s="23">
        <f t="shared" si="18"/>
        <v>0.64107545703422719</v>
      </c>
      <c r="AZ27" s="9">
        <f t="shared" si="19"/>
        <v>21.414948766690312</v>
      </c>
      <c r="BA27" s="9">
        <f t="shared" si="20"/>
        <v>2.1437382946021379E-3</v>
      </c>
      <c r="BB27" s="5">
        <f t="shared" si="21"/>
        <v>5.4098257191746475</v>
      </c>
      <c r="BC27" s="12">
        <f t="shared" si="22"/>
        <v>2.6180896828020537E-3</v>
      </c>
      <c r="BD27" s="28">
        <f t="shared" si="23"/>
        <v>0.13263383234139542</v>
      </c>
    </row>
    <row r="28" spans="13:56" x14ac:dyDescent="0.2">
      <c r="M28" s="8">
        <f>IF(US!$W28&gt;DS!$W28,US!A28,DS!A28)</f>
        <v>26</v>
      </c>
      <c r="N28" s="14">
        <f>IF(US!$W28&gt;DS!$W28,US!B28,DS!B28)</f>
        <v>225</v>
      </c>
      <c r="O28" s="14">
        <f>IF(US!$W28&gt;DS!$W28,US!C28,DS!C28)</f>
        <v>10.020000000000003</v>
      </c>
      <c r="P28" s="10">
        <f>IF(US!$W28&gt;DS!$W28,US!D28,DS!D28)</f>
        <v>9.9200000000000035</v>
      </c>
      <c r="Q28" s="8">
        <f>IF(US!$W28&gt;DS!$W28,US!E28,DS!E28)</f>
        <v>10</v>
      </c>
      <c r="R28" s="20">
        <f>IF(US!$W28&gt;DS!$W28,US!F28,DS!F28)</f>
        <v>0</v>
      </c>
      <c r="S28" s="20">
        <f>IF(US!$W28&gt;DS!$W28,US!G28,DS!G28)</f>
        <v>0</v>
      </c>
      <c r="T28" s="9">
        <f>IF(US!$W28&gt;DS!$W28,US!H28,DS!H28)</f>
        <v>1.0231438844279075</v>
      </c>
      <c r="U28" s="9">
        <f>IF(US!$W28&gt;DS!$W28,US!I28,DS!I28)</f>
        <v>11.043143884427911</v>
      </c>
      <c r="V28" s="9">
        <f>IF(US!$W28&gt;DS!$W28,US!J28,DS!J28)</f>
        <v>20</v>
      </c>
      <c r="W28" s="10">
        <f>IF(US!$W28&gt;DS!$W28,US!K28,DS!K28)</f>
        <v>1.4508717894715074E-2</v>
      </c>
      <c r="X28" s="9">
        <f>IF(US!$W28&gt;DS!$W28,US!L28,DS!L28)</f>
        <v>10</v>
      </c>
      <c r="Y28" s="9">
        <f>IF(US!$W28&gt;DS!$W28,US!M28,DS!M28)</f>
        <v>10.231438844279076</v>
      </c>
      <c r="Z28" s="9">
        <f>IF(US!$W28&gt;DS!$W28,US!N28,DS!N28)</f>
        <v>12.046287768855816</v>
      </c>
      <c r="AA28" s="9">
        <f>IF(US!$W28&gt;DS!$W28,US!O28,DS!O28)</f>
        <v>0.84934371821426957</v>
      </c>
      <c r="AB28" s="9">
        <f>IF(US!$W28&gt;DS!$W28,US!P28,DS!P28)</f>
        <v>1.9547592772040103</v>
      </c>
      <c r="AC28" s="9">
        <f>IF(US!$W28&gt;DS!$W28,US!Q28,DS!Q28)</f>
        <v>3.168129022978353</v>
      </c>
      <c r="AD28" s="5">
        <f>IF(US!$W28&gt;DS!$W28,US!R28,DS!R28)</f>
        <v>0.61700747129494882</v>
      </c>
      <c r="AE28" s="10">
        <f>IF(US!$W28&gt;DS!$W28,US!S28,DS!S28)</f>
        <v>11.237898412043362</v>
      </c>
      <c r="AF28" s="12">
        <f>IF(US!$W28&gt;DS!$W28,US!T28,DS!T28)</f>
        <v>9.9999999999999243E-4</v>
      </c>
      <c r="AG28" s="13">
        <f>IF(US!$W28&gt;DS!$W28,US!U28,DS!U28)</f>
        <v>6.7183733929156691E-31</v>
      </c>
      <c r="AH28" s="5">
        <f>IF(US!$W28&gt;DS!$W28,US!V28,DS!V28)</f>
        <v>0.51157194221395375</v>
      </c>
      <c r="AI28" s="5">
        <f>IF(US!$W28&gt;DS!$W28,US!W28,DS!W28)</f>
        <v>90.441873718361464</v>
      </c>
      <c r="AJ28" s="8">
        <f t="shared" si="6"/>
        <v>8.3320618756819211</v>
      </c>
      <c r="AK28" s="5">
        <f t="shared" si="7"/>
        <v>0.64344221076838104</v>
      </c>
      <c r="AL28" s="5">
        <f t="shared" si="8"/>
        <v>7.7420430312797528</v>
      </c>
      <c r="AM28" s="12">
        <f t="shared" si="9"/>
        <v>7.0480185288169074E-4</v>
      </c>
      <c r="AN28" s="5">
        <f t="shared" si="10"/>
        <v>9.1280128591506277E-2</v>
      </c>
      <c r="AO28" s="5">
        <f t="shared" si="11"/>
        <v>54.776434664940382</v>
      </c>
      <c r="AP28" s="10">
        <v>10.935641297324029</v>
      </c>
      <c r="AQ28" s="10">
        <v>0.5276219982039696</v>
      </c>
      <c r="AR28" s="10">
        <f t="shared" si="12"/>
        <v>0.877719331291271</v>
      </c>
      <c r="AS28" s="13">
        <f t="shared" si="13"/>
        <v>0.12256814263484087</v>
      </c>
      <c r="AT28" s="10">
        <f t="shared" si="14"/>
        <v>1.9962983282281754</v>
      </c>
      <c r="AU28" s="10">
        <f t="shared" si="15"/>
        <v>5.0043277206927535E-2</v>
      </c>
      <c r="AV28" s="11">
        <f t="shared" si="16"/>
        <v>8.1075904459698562E-5</v>
      </c>
      <c r="AW28" s="25">
        <f>AM28+'Grid-BC'!L52</f>
        <v>7.0480185288169074E-4</v>
      </c>
      <c r="AX28" s="10">
        <f t="shared" si="17"/>
        <v>0.19362483722791801</v>
      </c>
      <c r="AY28" s="23">
        <f t="shared" si="18"/>
        <v>0.64107545703422719</v>
      </c>
      <c r="AZ28" s="9">
        <f t="shared" si="19"/>
        <v>21.414948766690312</v>
      </c>
      <c r="BA28" s="9">
        <f t="shared" si="20"/>
        <v>2.1437382946021379E-3</v>
      </c>
      <c r="BB28" s="5">
        <f t="shared" si="21"/>
        <v>5.4098257191746475</v>
      </c>
      <c r="BC28" s="12">
        <f t="shared" si="22"/>
        <v>2.6180896828020537E-3</v>
      </c>
      <c r="BD28" s="28">
        <f t="shared" si="23"/>
        <v>0.13263383234139542</v>
      </c>
    </row>
    <row r="29" spans="13:56" x14ac:dyDescent="0.2">
      <c r="M29" s="8">
        <f>IF(US!$W29&gt;DS!$W29,US!A29,DS!A29)</f>
        <v>27</v>
      </c>
      <c r="N29" s="14">
        <f>IF(US!$W29&gt;DS!$W29,US!B29,DS!B29)</f>
        <v>230</v>
      </c>
      <c r="O29" s="14">
        <f>IF(US!$W29&gt;DS!$W29,US!C29,DS!C29)</f>
        <v>10.015000000000002</v>
      </c>
      <c r="P29" s="10">
        <f>IF(US!$W29&gt;DS!$W29,US!D29,DS!D29)</f>
        <v>9.9150000000000027</v>
      </c>
      <c r="Q29" s="8">
        <f>IF(US!$W29&gt;DS!$W29,US!E29,DS!E29)</f>
        <v>10</v>
      </c>
      <c r="R29" s="20">
        <f>IF(US!$W29&gt;DS!$W29,US!F29,DS!F29)</f>
        <v>0</v>
      </c>
      <c r="S29" s="20">
        <f>IF(US!$W29&gt;DS!$W29,US!G29,DS!G29)</f>
        <v>0</v>
      </c>
      <c r="T29" s="9">
        <f>IF(US!$W29&gt;DS!$W29,US!H29,DS!H29)</f>
        <v>1.0231438844279075</v>
      </c>
      <c r="U29" s="9">
        <f>IF(US!$W29&gt;DS!$W29,US!I29,DS!I29)</f>
        <v>11.03814388442791</v>
      </c>
      <c r="V29" s="9">
        <f>IF(US!$W29&gt;DS!$W29,US!J29,DS!J29)</f>
        <v>20</v>
      </c>
      <c r="W29" s="10">
        <f>IF(US!$W29&gt;DS!$W29,US!K29,DS!K29)</f>
        <v>1.4508717894715074E-2</v>
      </c>
      <c r="X29" s="9">
        <f>IF(US!$W29&gt;DS!$W29,US!L29,DS!L29)</f>
        <v>10</v>
      </c>
      <c r="Y29" s="9">
        <f>IF(US!$W29&gt;DS!$W29,US!M29,DS!M29)</f>
        <v>10.231438844279076</v>
      </c>
      <c r="Z29" s="9">
        <f>IF(US!$W29&gt;DS!$W29,US!N29,DS!N29)</f>
        <v>12.046287768855816</v>
      </c>
      <c r="AA29" s="9">
        <f>IF(US!$W29&gt;DS!$W29,US!O29,DS!O29)</f>
        <v>0.84934371821426957</v>
      </c>
      <c r="AB29" s="9">
        <f>IF(US!$W29&gt;DS!$W29,US!P29,DS!P29)</f>
        <v>1.9547592772040103</v>
      </c>
      <c r="AC29" s="9">
        <f>IF(US!$W29&gt;DS!$W29,US!Q29,DS!Q29)</f>
        <v>3.168129022978353</v>
      </c>
      <c r="AD29" s="5">
        <f>IF(US!$W29&gt;DS!$W29,US!R29,DS!R29)</f>
        <v>0.61700747129494882</v>
      </c>
      <c r="AE29" s="10">
        <f>IF(US!$W29&gt;DS!$W29,US!S29,DS!S29)</f>
        <v>11.232898412043362</v>
      </c>
      <c r="AF29" s="12">
        <f>IF(US!$W29&gt;DS!$W29,US!T29,DS!T29)</f>
        <v>9.9999999999999243E-4</v>
      </c>
      <c r="AG29" s="13">
        <f>IF(US!$W29&gt;DS!$W29,US!U29,DS!U29)</f>
        <v>6.7183733929156691E-31</v>
      </c>
      <c r="AH29" s="5">
        <f>IF(US!$W29&gt;DS!$W29,US!V29,DS!V29)</f>
        <v>0.51157194221395375</v>
      </c>
      <c r="AI29" s="5">
        <f>IF(US!$W29&gt;DS!$W29,US!W29,DS!W29)</f>
        <v>90.441873718361464</v>
      </c>
      <c r="AJ29" s="8">
        <f t="shared" si="6"/>
        <v>8.3320618756819211</v>
      </c>
      <c r="AK29" s="5">
        <f t="shared" si="7"/>
        <v>0.64344221076838104</v>
      </c>
      <c r="AL29" s="5">
        <f t="shared" si="8"/>
        <v>7.7420430312797528</v>
      </c>
      <c r="AM29" s="12">
        <f t="shared" si="9"/>
        <v>7.0480185288169074E-4</v>
      </c>
      <c r="AN29" s="5">
        <f t="shared" si="10"/>
        <v>9.1280128591506277E-2</v>
      </c>
      <c r="AO29" s="5">
        <f t="shared" si="11"/>
        <v>54.776434664940382</v>
      </c>
      <c r="AP29" s="10">
        <v>10.935641297324029</v>
      </c>
      <c r="AQ29" s="10">
        <v>0.5276219982039696</v>
      </c>
      <c r="AR29" s="10">
        <f t="shared" si="12"/>
        <v>0.877719331291271</v>
      </c>
      <c r="AS29" s="13">
        <f t="shared" si="13"/>
        <v>0.12256814263484087</v>
      </c>
      <c r="AT29" s="10">
        <f t="shared" si="14"/>
        <v>1.9962983282281754</v>
      </c>
      <c r="AU29" s="10">
        <f t="shared" si="15"/>
        <v>5.0043277206927535E-2</v>
      </c>
      <c r="AV29" s="11">
        <f t="shared" si="16"/>
        <v>8.1075904459698562E-5</v>
      </c>
      <c r="AW29" s="25">
        <f>AM29+'Grid-BC'!L53</f>
        <v>7.0480185288169074E-4</v>
      </c>
      <c r="AX29" s="10">
        <f t="shared" si="17"/>
        <v>0.19362483722791801</v>
      </c>
      <c r="AY29" s="23">
        <f t="shared" si="18"/>
        <v>0.64107545703422719</v>
      </c>
      <c r="AZ29" s="9">
        <f t="shared" si="19"/>
        <v>21.414948766690312</v>
      </c>
      <c r="BA29" s="9">
        <f t="shared" si="20"/>
        <v>2.1437382946021379E-3</v>
      </c>
      <c r="BB29" s="5">
        <f t="shared" si="21"/>
        <v>5.4098257191746475</v>
      </c>
      <c r="BC29" s="12">
        <f t="shared" si="22"/>
        <v>2.6180896828020537E-3</v>
      </c>
      <c r="BD29" s="28">
        <f t="shared" si="23"/>
        <v>0.13263383234139542</v>
      </c>
    </row>
    <row r="30" spans="13:56" x14ac:dyDescent="0.2">
      <c r="M30" s="8">
        <f>IF(US!$W30&gt;DS!$W30,US!A30,DS!A30)</f>
        <v>28</v>
      </c>
      <c r="N30" s="14">
        <f>IF(US!$W30&gt;DS!$W30,US!B30,DS!B30)</f>
        <v>235</v>
      </c>
      <c r="O30" s="14">
        <f>IF(US!$W30&gt;DS!$W30,US!C30,DS!C30)</f>
        <v>10.010000000000002</v>
      </c>
      <c r="P30" s="10">
        <f>IF(US!$W30&gt;DS!$W30,US!D30,DS!D30)</f>
        <v>9.9100000000000019</v>
      </c>
      <c r="Q30" s="8">
        <f>IF(US!$W30&gt;DS!$W30,US!E30,DS!E30)</f>
        <v>10</v>
      </c>
      <c r="R30" s="20">
        <f>IF(US!$W30&gt;DS!$W30,US!F30,DS!F30)</f>
        <v>0</v>
      </c>
      <c r="S30" s="20">
        <f>IF(US!$W30&gt;DS!$W30,US!G30,DS!G30)</f>
        <v>0</v>
      </c>
      <c r="T30" s="9">
        <f>IF(US!$W30&gt;DS!$W30,US!H30,DS!H30)</f>
        <v>1.0231438844279075</v>
      </c>
      <c r="U30" s="9">
        <f>IF(US!$W30&gt;DS!$W30,US!I30,DS!I30)</f>
        <v>11.033143884427909</v>
      </c>
      <c r="V30" s="9">
        <f>IF(US!$W30&gt;DS!$W30,US!J30,DS!J30)</f>
        <v>20</v>
      </c>
      <c r="W30" s="10">
        <f>IF(US!$W30&gt;DS!$W30,US!K30,DS!K30)</f>
        <v>1.4508717894715074E-2</v>
      </c>
      <c r="X30" s="9">
        <f>IF(US!$W30&gt;DS!$W30,US!L30,DS!L30)</f>
        <v>10</v>
      </c>
      <c r="Y30" s="9">
        <f>IF(US!$W30&gt;DS!$W30,US!M30,DS!M30)</f>
        <v>10.231438844279076</v>
      </c>
      <c r="Z30" s="9">
        <f>IF(US!$W30&gt;DS!$W30,US!N30,DS!N30)</f>
        <v>12.046287768855816</v>
      </c>
      <c r="AA30" s="9">
        <f>IF(US!$W30&gt;DS!$W30,US!O30,DS!O30)</f>
        <v>0.84934371821426957</v>
      </c>
      <c r="AB30" s="9">
        <f>IF(US!$W30&gt;DS!$W30,US!P30,DS!P30)</f>
        <v>1.9547592772040103</v>
      </c>
      <c r="AC30" s="9">
        <f>IF(US!$W30&gt;DS!$W30,US!Q30,DS!Q30)</f>
        <v>3.168129022978353</v>
      </c>
      <c r="AD30" s="5">
        <f>IF(US!$W30&gt;DS!$W30,US!R30,DS!R30)</f>
        <v>0.61700747129494882</v>
      </c>
      <c r="AE30" s="10">
        <f>IF(US!$W30&gt;DS!$W30,US!S30,DS!S30)</f>
        <v>11.227898412043361</v>
      </c>
      <c r="AF30" s="12">
        <f>IF(US!$W30&gt;DS!$W30,US!T30,DS!T30)</f>
        <v>9.9999999999999243E-4</v>
      </c>
      <c r="AG30" s="13">
        <f>IF(US!$W30&gt;DS!$W30,US!U30,DS!U30)</f>
        <v>6.7183733929156691E-31</v>
      </c>
      <c r="AH30" s="5">
        <f>IF(US!$W30&gt;DS!$W30,US!V30,DS!V30)</f>
        <v>0.51157194221395375</v>
      </c>
      <c r="AI30" s="5">
        <f>IF(US!$W30&gt;DS!$W30,US!W30,DS!W30)</f>
        <v>90.441873718361464</v>
      </c>
      <c r="AJ30" s="8">
        <f t="shared" si="6"/>
        <v>8.3320618756819211</v>
      </c>
      <c r="AK30" s="5">
        <f t="shared" si="7"/>
        <v>0.64344221076838104</v>
      </c>
      <c r="AL30" s="5">
        <f t="shared" si="8"/>
        <v>7.7420430312797528</v>
      </c>
      <c r="AM30" s="12">
        <f t="shared" si="9"/>
        <v>7.0480185288169074E-4</v>
      </c>
      <c r="AN30" s="5">
        <f t="shared" si="10"/>
        <v>9.1280128591506277E-2</v>
      </c>
      <c r="AO30" s="5">
        <f t="shared" si="11"/>
        <v>54.776434664940382</v>
      </c>
      <c r="AP30" s="10">
        <v>10.935641297324029</v>
      </c>
      <c r="AQ30" s="10">
        <v>0.5276219982039696</v>
      </c>
      <c r="AR30" s="10">
        <f t="shared" si="12"/>
        <v>0.877719331291271</v>
      </c>
      <c r="AS30" s="13">
        <f t="shared" si="13"/>
        <v>0.12256814263484087</v>
      </c>
      <c r="AT30" s="10">
        <f t="shared" si="14"/>
        <v>1.9962983282281754</v>
      </c>
      <c r="AU30" s="10">
        <f t="shared" si="15"/>
        <v>5.0043277206927535E-2</v>
      </c>
      <c r="AV30" s="11">
        <f t="shared" si="16"/>
        <v>8.1075904459698562E-5</v>
      </c>
      <c r="AW30" s="25">
        <f>AM30+'Grid-BC'!L54</f>
        <v>7.0480185288169074E-4</v>
      </c>
      <c r="AX30" s="10">
        <f t="shared" si="17"/>
        <v>0.19362483722791801</v>
      </c>
      <c r="AY30" s="23">
        <f t="shared" si="18"/>
        <v>0.64107545703422719</v>
      </c>
      <c r="AZ30" s="9">
        <f t="shared" si="19"/>
        <v>21.414948766690312</v>
      </c>
      <c r="BA30" s="9">
        <f t="shared" si="20"/>
        <v>2.1437382946021379E-3</v>
      </c>
      <c r="BB30" s="5">
        <f t="shared" si="21"/>
        <v>5.4098257191746475</v>
      </c>
      <c r="BC30" s="12">
        <f t="shared" si="22"/>
        <v>2.6180896828020537E-3</v>
      </c>
      <c r="BD30" s="28">
        <f t="shared" si="23"/>
        <v>0.13263383234139542</v>
      </c>
    </row>
    <row r="31" spans="13:56" x14ac:dyDescent="0.2">
      <c r="M31" s="8">
        <f>IF(US!$W31&gt;DS!$W31,US!A31,DS!A31)</f>
        <v>29</v>
      </c>
      <c r="N31" s="14">
        <f>IF(US!$W31&gt;DS!$W31,US!B31,DS!B31)</f>
        <v>240</v>
      </c>
      <c r="O31" s="14">
        <f>IF(US!$W31&gt;DS!$W31,US!C31,DS!C31)</f>
        <v>10.005000000000001</v>
      </c>
      <c r="P31" s="10">
        <f>IF(US!$W31&gt;DS!$W31,US!D31,DS!D31)</f>
        <v>9.9050000000000011</v>
      </c>
      <c r="Q31" s="8">
        <f>IF(US!$W31&gt;DS!$W31,US!E31,DS!E31)</f>
        <v>10</v>
      </c>
      <c r="R31" s="20">
        <f>IF(US!$W31&gt;DS!$W31,US!F31,DS!F31)</f>
        <v>0</v>
      </c>
      <c r="S31" s="20">
        <f>IF(US!$W31&gt;DS!$W31,US!G31,DS!G31)</f>
        <v>0</v>
      </c>
      <c r="T31" s="9">
        <f>IF(US!$W31&gt;DS!$W31,US!H31,DS!H31)</f>
        <v>1.0231438844279075</v>
      </c>
      <c r="U31" s="9">
        <f>IF(US!$W31&gt;DS!$W31,US!I31,DS!I31)</f>
        <v>11.028143884427909</v>
      </c>
      <c r="V31" s="9">
        <f>IF(US!$W31&gt;DS!$W31,US!J31,DS!J31)</f>
        <v>20</v>
      </c>
      <c r="W31" s="10">
        <f>IF(US!$W31&gt;DS!$W31,US!K31,DS!K31)</f>
        <v>1.4508717894715074E-2</v>
      </c>
      <c r="X31" s="9">
        <f>IF(US!$W31&gt;DS!$W31,US!L31,DS!L31)</f>
        <v>10</v>
      </c>
      <c r="Y31" s="9">
        <f>IF(US!$W31&gt;DS!$W31,US!M31,DS!M31)</f>
        <v>10.231438844279076</v>
      </c>
      <c r="Z31" s="9">
        <f>IF(US!$W31&gt;DS!$W31,US!N31,DS!N31)</f>
        <v>12.046287768855816</v>
      </c>
      <c r="AA31" s="9">
        <f>IF(US!$W31&gt;DS!$W31,US!O31,DS!O31)</f>
        <v>0.84934371821426957</v>
      </c>
      <c r="AB31" s="9">
        <f>IF(US!$W31&gt;DS!$W31,US!P31,DS!P31)</f>
        <v>1.9547592772040103</v>
      </c>
      <c r="AC31" s="9">
        <f>IF(US!$W31&gt;DS!$W31,US!Q31,DS!Q31)</f>
        <v>3.168129022978353</v>
      </c>
      <c r="AD31" s="5">
        <f>IF(US!$W31&gt;DS!$W31,US!R31,DS!R31)</f>
        <v>0.61700747129494882</v>
      </c>
      <c r="AE31" s="10">
        <f>IF(US!$W31&gt;DS!$W31,US!S31,DS!S31)</f>
        <v>11.22289841204336</v>
      </c>
      <c r="AF31" s="12">
        <f>IF(US!$W31&gt;DS!$W31,US!T31,DS!T31)</f>
        <v>9.9999999999999243E-4</v>
      </c>
      <c r="AG31" s="13">
        <f>IF(US!$W31&gt;DS!$W31,US!U31,DS!U31)</f>
        <v>6.7183733929156691E-31</v>
      </c>
      <c r="AH31" s="5">
        <f>IF(US!$W31&gt;DS!$W31,US!V31,DS!V31)</f>
        <v>0.51157194221395375</v>
      </c>
      <c r="AI31" s="5">
        <f>IF(US!$W31&gt;DS!$W31,US!W31,DS!W31)</f>
        <v>90.441873718361464</v>
      </c>
      <c r="AJ31" s="8">
        <f t="shared" si="6"/>
        <v>8.3320618756819211</v>
      </c>
      <c r="AK31" s="5">
        <f t="shared" si="7"/>
        <v>0.64344221076838104</v>
      </c>
      <c r="AL31" s="5">
        <f t="shared" si="8"/>
        <v>7.7420430312797528</v>
      </c>
      <c r="AM31" s="12">
        <f t="shared" si="9"/>
        <v>7.0480185288169074E-4</v>
      </c>
      <c r="AN31" s="5">
        <f t="shared" si="10"/>
        <v>9.1280128591506277E-2</v>
      </c>
      <c r="AO31" s="5">
        <f t="shared" si="11"/>
        <v>54.776434664940382</v>
      </c>
      <c r="AP31" s="10">
        <v>10.935641297324029</v>
      </c>
      <c r="AQ31" s="10">
        <v>0.5276219982039696</v>
      </c>
      <c r="AR31" s="10">
        <f t="shared" si="12"/>
        <v>0.877719331291271</v>
      </c>
      <c r="AS31" s="13">
        <f t="shared" si="13"/>
        <v>0.12256814263484087</v>
      </c>
      <c r="AT31" s="10">
        <f t="shared" si="14"/>
        <v>1.9962983282281754</v>
      </c>
      <c r="AU31" s="10">
        <f t="shared" si="15"/>
        <v>5.0043277206927535E-2</v>
      </c>
      <c r="AV31" s="11">
        <f t="shared" si="16"/>
        <v>8.1075904459698562E-5</v>
      </c>
      <c r="AW31" s="25">
        <f>AM31+'Grid-BC'!L55</f>
        <v>7.0480185288169074E-4</v>
      </c>
      <c r="AX31" s="10">
        <f t="shared" si="17"/>
        <v>0.19362483722791801</v>
      </c>
      <c r="AY31" s="23">
        <f t="shared" si="18"/>
        <v>0.64107545703422719</v>
      </c>
      <c r="AZ31" s="9">
        <f t="shared" si="19"/>
        <v>21.414948766690312</v>
      </c>
      <c r="BA31" s="9">
        <f t="shared" si="20"/>
        <v>2.1437382946021379E-3</v>
      </c>
      <c r="BB31" s="5">
        <f t="shared" si="21"/>
        <v>5.4098257191746475</v>
      </c>
      <c r="BC31" s="12">
        <f t="shared" si="22"/>
        <v>2.6180896828020537E-3</v>
      </c>
      <c r="BD31" s="28">
        <f t="shared" si="23"/>
        <v>0.13263383234139542</v>
      </c>
    </row>
    <row r="32" spans="13:56" x14ac:dyDescent="0.2">
      <c r="M32" s="8">
        <f>IF(US!$W32&gt;DS!$W32,US!A32,DS!A32)</f>
        <v>30</v>
      </c>
      <c r="N32" s="14">
        <f>IF(US!$W32&gt;DS!$W32,US!B32,DS!B32)</f>
        <v>245</v>
      </c>
      <c r="O32" s="14">
        <f>IF(US!$W32&gt;DS!$W32,US!C32,DS!C32)</f>
        <v>10</v>
      </c>
      <c r="P32" s="10">
        <f>IF(US!$W32&gt;DS!$W32,US!D32,DS!D32)</f>
        <v>9.9</v>
      </c>
      <c r="Q32" s="8">
        <f>IF(US!$W32&gt;DS!$W32,US!E32,DS!E32)</f>
        <v>10</v>
      </c>
      <c r="R32" s="20">
        <f>IF(US!$W32&gt;DS!$W32,US!F32,DS!F32)</f>
        <v>0</v>
      </c>
      <c r="S32" s="20">
        <f>IF(US!$W32&gt;DS!$W32,US!G32,DS!G32)</f>
        <v>0</v>
      </c>
      <c r="T32" s="9">
        <f>IF(US!$W32&gt;DS!$W32,US!H32,DS!H32)</f>
        <v>1.0231438844279075</v>
      </c>
      <c r="U32" s="9">
        <f>IF(US!$W32&gt;DS!$W32,US!I32,DS!I32)</f>
        <v>11.023143884427908</v>
      </c>
      <c r="V32" s="9">
        <f>IF(US!$W32&gt;DS!$W32,US!J32,DS!J32)</f>
        <v>20</v>
      </c>
      <c r="W32" s="10">
        <f>IF(US!$W32&gt;DS!$W32,US!K32,DS!K32)</f>
        <v>1.4508717894715074E-2</v>
      </c>
      <c r="X32" s="9">
        <f>IF(US!$W32&gt;DS!$W32,US!L32,DS!L32)</f>
        <v>10</v>
      </c>
      <c r="Y32" s="9">
        <f>IF(US!$W32&gt;DS!$W32,US!M32,DS!M32)</f>
        <v>10.231438844279076</v>
      </c>
      <c r="Z32" s="9">
        <f>IF(US!$W32&gt;DS!$W32,US!N32,DS!N32)</f>
        <v>12.046287768855816</v>
      </c>
      <c r="AA32" s="9">
        <f>IF(US!$W32&gt;DS!$W32,US!O32,DS!O32)</f>
        <v>0.84934371821426957</v>
      </c>
      <c r="AB32" s="9">
        <f>IF(US!$W32&gt;DS!$W32,US!P32,DS!P32)</f>
        <v>1.9547592772040103</v>
      </c>
      <c r="AC32" s="9">
        <f>IF(US!$W32&gt;DS!$W32,US!Q32,DS!Q32)</f>
        <v>3.168129022978353</v>
      </c>
      <c r="AD32" s="5">
        <f>IF(US!$W32&gt;DS!$W32,US!R32,DS!R32)</f>
        <v>0.61700747129494882</v>
      </c>
      <c r="AE32" s="10">
        <f>IF(US!$W32&gt;DS!$W32,US!S32,DS!S32)</f>
        <v>11.217898412043359</v>
      </c>
      <c r="AF32" s="12">
        <f>IF(US!$W32&gt;DS!$W32,US!T32,DS!T32)</f>
        <v>9.9999999999999243E-4</v>
      </c>
      <c r="AG32" s="13"/>
      <c r="AH32" s="5">
        <f>IF(US!$W32&gt;DS!$W32,US!V32,DS!V32)</f>
        <v>0.51157194221395375</v>
      </c>
      <c r="AI32" s="5">
        <f>IF(US!$W32&gt;DS!$W32,US!W32,DS!W32)</f>
        <v>90.441873718361464</v>
      </c>
      <c r="AJ32" s="8">
        <f t="shared" si="6"/>
        <v>8.3320618756819211</v>
      </c>
      <c r="AK32" s="5">
        <f t="shared" si="7"/>
        <v>0.64344221076838104</v>
      </c>
      <c r="AL32" s="5">
        <f t="shared" si="8"/>
        <v>7.7420430312797528</v>
      </c>
      <c r="AM32" s="12">
        <f t="shared" si="9"/>
        <v>7.0480185288169074E-4</v>
      </c>
      <c r="AN32" s="5">
        <f t="shared" si="10"/>
        <v>9.1280128591506277E-2</v>
      </c>
      <c r="AO32" s="5"/>
      <c r="AP32" s="10">
        <v>10.935641297324029</v>
      </c>
      <c r="AQ32" s="10">
        <v>0.5276219982039696</v>
      </c>
      <c r="AR32" s="10">
        <f t="shared" si="12"/>
        <v>0.877719331291271</v>
      </c>
      <c r="AS32" s="13">
        <f t="shared" si="13"/>
        <v>0.12256814263484087</v>
      </c>
      <c r="AT32" s="10">
        <f t="shared" si="14"/>
        <v>1.9962983282281754</v>
      </c>
      <c r="AU32" s="10">
        <f t="shared" si="15"/>
        <v>5.0043277206927535E-2</v>
      </c>
      <c r="AV32" s="11">
        <f t="shared" si="16"/>
        <v>8.1075904459698562E-5</v>
      </c>
      <c r="AW32" s="25">
        <f>AM32+'Grid-BC'!L56</f>
        <v>7.0480185288169074E-4</v>
      </c>
      <c r="AX32" s="10">
        <f t="shared" si="17"/>
        <v>0.19362483722791801</v>
      </c>
      <c r="AY32" s="23">
        <f t="shared" si="18"/>
        <v>0.64107545703422719</v>
      </c>
      <c r="AZ32" s="9">
        <f t="shared" si="19"/>
        <v>21.414948766690312</v>
      </c>
      <c r="BA32" s="9">
        <f t="shared" si="20"/>
        <v>2.1437382946021379E-3</v>
      </c>
      <c r="BB32" s="5">
        <f t="shared" si="21"/>
        <v>5.4098257191746475</v>
      </c>
      <c r="BC32" s="12">
        <f t="shared" si="22"/>
        <v>2.6180896828020537E-3</v>
      </c>
      <c r="BD32" s="28">
        <f t="shared" si="23"/>
        <v>0.13263383234139542</v>
      </c>
    </row>
    <row r="33" spans="12:107" x14ac:dyDescent="0.2">
      <c r="M33" s="8"/>
      <c r="N33" s="14"/>
      <c r="O33" s="14"/>
      <c r="P33" s="10"/>
      <c r="Q33" s="8"/>
      <c r="R33" s="20"/>
      <c r="S33" s="20"/>
      <c r="T33" s="9"/>
      <c r="U33" s="9"/>
      <c r="V33" s="9"/>
      <c r="W33" s="10"/>
      <c r="X33" s="9"/>
      <c r="Y33" s="9"/>
      <c r="Z33" s="9"/>
      <c r="AA33" s="9"/>
      <c r="AB33" s="9"/>
      <c r="AC33" s="9"/>
      <c r="AD33" s="5"/>
      <c r="AE33" s="10"/>
      <c r="AF33" s="12"/>
      <c r="AG33" s="13"/>
      <c r="AH33" s="5"/>
      <c r="AI33" s="5"/>
      <c r="AJ33" s="8"/>
      <c r="AK33" s="5"/>
      <c r="AL33" s="5"/>
      <c r="AM33" s="12"/>
      <c r="AN33" s="5"/>
      <c r="AO33" s="5"/>
      <c r="AP33" s="10"/>
      <c r="AQ33" s="10"/>
      <c r="AR33" s="10"/>
      <c r="AS33" s="13"/>
      <c r="AT33" s="10"/>
      <c r="AU33" s="10"/>
      <c r="AV33" s="11"/>
      <c r="AW33" s="25"/>
      <c r="AX33" s="10"/>
      <c r="AY33" s="23"/>
      <c r="AZ33" s="9"/>
      <c r="BA33" s="9"/>
      <c r="BB33" s="5"/>
      <c r="BC33" s="12"/>
      <c r="BD33" s="28"/>
    </row>
    <row r="34" spans="12:107" x14ac:dyDescent="0.2">
      <c r="M34" s="8"/>
      <c r="N34" s="14"/>
      <c r="O34" s="14"/>
      <c r="P34" s="10"/>
      <c r="Q34" s="8"/>
      <c r="R34" s="20"/>
      <c r="S34" s="20"/>
      <c r="T34" s="9"/>
      <c r="U34" s="9"/>
      <c r="V34" s="9"/>
      <c r="W34" s="10"/>
      <c r="X34" s="9"/>
      <c r="Y34" s="9"/>
      <c r="Z34" s="9"/>
      <c r="AA34" s="9"/>
      <c r="AB34" s="9"/>
      <c r="AC34" s="9"/>
      <c r="AD34" s="5"/>
      <c r="AE34" s="10"/>
      <c r="AF34" s="12"/>
      <c r="AG34" s="13"/>
      <c r="AH34" s="5"/>
      <c r="AI34" s="5"/>
      <c r="AJ34" s="8"/>
      <c r="AK34" s="5"/>
      <c r="AL34" s="5"/>
      <c r="AM34" s="12"/>
      <c r="AN34" s="5"/>
      <c r="AO34" s="5"/>
      <c r="AP34" s="10"/>
      <c r="AQ34" s="10"/>
      <c r="AR34" s="10"/>
      <c r="AS34" s="13"/>
      <c r="AT34" s="10"/>
      <c r="AU34" s="10"/>
      <c r="AV34" s="11"/>
      <c r="AW34" s="25"/>
      <c r="AX34" s="10"/>
      <c r="AY34" s="23"/>
      <c r="AZ34" s="9"/>
      <c r="BA34" s="9"/>
      <c r="BB34" s="5"/>
      <c r="BC34" s="12"/>
      <c r="BD34" s="28"/>
    </row>
    <row r="35" spans="12:107" x14ac:dyDescent="0.2">
      <c r="M35" s="8"/>
      <c r="N35" s="14"/>
      <c r="O35" s="14"/>
      <c r="P35" s="10"/>
      <c r="Q35" s="8"/>
      <c r="R35" s="20"/>
      <c r="S35" s="20"/>
      <c r="T35" s="9"/>
      <c r="U35" s="9"/>
      <c r="V35" s="9"/>
      <c r="W35" s="10"/>
      <c r="X35" s="9"/>
      <c r="Y35" s="9"/>
      <c r="Z35" s="9"/>
      <c r="AA35" s="9"/>
      <c r="AB35" s="9"/>
      <c r="AC35" s="9"/>
      <c r="AD35" s="5"/>
      <c r="AE35" s="10"/>
      <c r="AF35" s="12"/>
      <c r="AG35" s="13"/>
      <c r="AH35" s="5"/>
      <c r="AI35" s="5"/>
      <c r="AJ35" s="8"/>
      <c r="AK35" s="5"/>
      <c r="AL35" s="5"/>
      <c r="AM35" s="12"/>
      <c r="AN35" s="5"/>
      <c r="AO35" s="5"/>
      <c r="AP35" s="10"/>
      <c r="AQ35" s="10"/>
      <c r="AR35" s="10"/>
      <c r="AS35" s="13"/>
      <c r="AT35" s="10"/>
      <c r="AU35" s="10"/>
      <c r="AV35" s="11"/>
      <c r="AW35" s="25"/>
      <c r="AX35" s="10"/>
      <c r="AY35" s="23"/>
      <c r="AZ35" s="9"/>
      <c r="BA35" s="9"/>
      <c r="BB35" s="5"/>
      <c r="BC35" s="12"/>
      <c r="BD35" s="28"/>
    </row>
    <row r="36" spans="12:107" x14ac:dyDescent="0.2">
      <c r="M36" s="8"/>
      <c r="N36" s="14"/>
      <c r="O36" s="14"/>
      <c r="P36" s="10"/>
      <c r="Q36" s="8"/>
      <c r="R36" s="20"/>
      <c r="S36" s="20"/>
      <c r="T36" s="9"/>
      <c r="U36" s="9"/>
      <c r="V36" s="9"/>
      <c r="W36" s="10"/>
      <c r="X36" s="9"/>
      <c r="Y36" s="9"/>
      <c r="Z36" s="9"/>
      <c r="AA36" s="9"/>
      <c r="AB36" s="9"/>
      <c r="AC36" s="9"/>
      <c r="AD36" s="5"/>
      <c r="AE36" s="10"/>
      <c r="AF36" s="12"/>
      <c r="AG36" s="13"/>
      <c r="AH36" s="5"/>
      <c r="AI36" s="5"/>
      <c r="AJ36" s="8"/>
      <c r="AK36" s="5"/>
      <c r="AL36" s="5"/>
      <c r="AM36" s="12"/>
      <c r="AN36" s="5"/>
      <c r="AO36" s="5"/>
      <c r="AP36" s="10"/>
      <c r="AQ36" s="10"/>
      <c r="AR36" s="10"/>
      <c r="AS36" s="13"/>
      <c r="AT36" s="10"/>
      <c r="AU36" s="10"/>
      <c r="AV36" s="11"/>
      <c r="AW36" s="25"/>
      <c r="AX36" s="10"/>
      <c r="AY36" s="23"/>
      <c r="AZ36" s="9"/>
      <c r="BA36" s="9"/>
      <c r="BB36" s="5"/>
      <c r="BC36" s="12"/>
      <c r="BD36" s="28"/>
    </row>
    <row r="37" spans="12:107" x14ac:dyDescent="0.2">
      <c r="M37" s="8"/>
      <c r="N37" s="14"/>
      <c r="O37" s="14"/>
      <c r="P37" s="10"/>
      <c r="Q37" s="8"/>
      <c r="R37" s="20"/>
      <c r="S37" s="20"/>
      <c r="T37" s="9"/>
      <c r="U37" s="9"/>
      <c r="V37" s="9"/>
      <c r="W37" s="10"/>
      <c r="X37" s="9"/>
      <c r="Y37" s="9"/>
      <c r="Z37" s="9"/>
      <c r="AA37" s="9"/>
      <c r="AB37" s="9"/>
      <c r="AC37" s="9"/>
      <c r="AD37" s="5"/>
      <c r="AE37" s="10"/>
      <c r="AF37" s="12"/>
      <c r="AG37" s="13"/>
      <c r="AH37" s="5"/>
      <c r="AI37" s="5"/>
      <c r="AJ37" s="8"/>
      <c r="AK37" s="5"/>
      <c r="AL37" s="5"/>
      <c r="AM37" s="12"/>
      <c r="AN37" s="5"/>
      <c r="AO37" s="5"/>
      <c r="AP37" s="10"/>
      <c r="AQ37" s="10"/>
      <c r="AR37" s="10"/>
      <c r="AS37" s="13"/>
      <c r="AT37" s="10"/>
      <c r="AU37" s="10"/>
      <c r="AV37" s="11"/>
      <c r="AW37" s="25"/>
      <c r="AX37" s="10"/>
      <c r="AY37" s="23"/>
      <c r="AZ37" s="9"/>
      <c r="BA37" s="9"/>
      <c r="BB37" s="5"/>
      <c r="BC37" s="12"/>
      <c r="BD37" s="28"/>
    </row>
    <row r="38" spans="12:107" x14ac:dyDescent="0.2">
      <c r="M38" s="8"/>
      <c r="N38" s="14"/>
      <c r="O38" s="14"/>
      <c r="P38" s="10"/>
      <c r="Q38" s="8"/>
      <c r="R38" s="20"/>
      <c r="S38" s="20"/>
      <c r="T38" s="9"/>
      <c r="U38" s="9"/>
      <c r="V38" s="9"/>
      <c r="W38" s="10"/>
      <c r="X38" s="9"/>
      <c r="Y38" s="9"/>
      <c r="Z38" s="9"/>
      <c r="AA38" s="9"/>
      <c r="AB38" s="9"/>
      <c r="AC38" s="9"/>
      <c r="AD38" s="5"/>
      <c r="AE38" s="10"/>
      <c r="AF38" s="12"/>
      <c r="AG38" s="13"/>
      <c r="AH38" s="5"/>
      <c r="AI38" s="5"/>
      <c r="AJ38" s="8"/>
      <c r="AK38" s="5"/>
      <c r="AL38" s="5"/>
      <c r="AM38" s="12"/>
      <c r="AN38" s="5"/>
      <c r="AO38" s="5"/>
      <c r="AP38" s="10"/>
      <c r="AQ38" s="10"/>
      <c r="AR38" s="10"/>
      <c r="AS38" s="13"/>
      <c r="AT38" s="10"/>
      <c r="AU38" s="10"/>
      <c r="AV38" s="11"/>
      <c r="AW38" s="25"/>
      <c r="AX38" s="10"/>
      <c r="AY38" s="23"/>
      <c r="AZ38" s="9"/>
      <c r="BA38" s="9"/>
      <c r="BB38" s="5"/>
      <c r="BC38" s="12"/>
      <c r="BD38" s="28"/>
    </row>
    <row r="39" spans="12:107" x14ac:dyDescent="0.2">
      <c r="M39" s="8"/>
      <c r="N39" s="14"/>
      <c r="O39" s="14"/>
      <c r="P39" s="10"/>
      <c r="Q39" s="8"/>
      <c r="R39" s="20"/>
      <c r="S39" s="20"/>
      <c r="T39" s="9"/>
      <c r="U39" s="9"/>
      <c r="V39" s="9"/>
      <c r="W39" s="10"/>
      <c r="X39" s="9"/>
      <c r="Y39" s="9"/>
      <c r="Z39" s="9"/>
      <c r="AA39" s="9"/>
      <c r="AB39" s="9"/>
      <c r="AC39" s="9"/>
      <c r="AD39" s="5"/>
      <c r="AE39" s="10"/>
      <c r="AF39" s="12"/>
      <c r="AG39" s="13"/>
      <c r="AH39" s="5"/>
      <c r="AI39" s="5"/>
      <c r="AJ39" s="8"/>
      <c r="AK39" s="5"/>
      <c r="AL39" s="5"/>
      <c r="AM39" s="12"/>
      <c r="AN39" s="5"/>
      <c r="AO39" s="5"/>
      <c r="AP39" s="10"/>
      <c r="AQ39" s="10"/>
      <c r="AR39" s="10"/>
      <c r="AS39" s="13"/>
      <c r="AT39" s="10"/>
      <c r="AU39" s="10"/>
      <c r="AV39" s="11"/>
      <c r="AW39" s="25"/>
      <c r="AX39" s="10"/>
      <c r="AY39" s="23"/>
      <c r="AZ39" s="9"/>
      <c r="BA39" s="9"/>
      <c r="BB39" s="5"/>
      <c r="BC39" s="12"/>
      <c r="BD39" s="28"/>
    </row>
    <row r="40" spans="12:107" x14ac:dyDescent="0.2">
      <c r="M40" s="8"/>
      <c r="N40" s="14"/>
      <c r="O40" s="14"/>
      <c r="P40" s="10"/>
      <c r="Q40" s="8"/>
      <c r="R40" s="20"/>
      <c r="S40" s="20"/>
      <c r="T40" s="9"/>
      <c r="U40" s="9"/>
      <c r="V40" s="9"/>
      <c r="W40" s="10"/>
      <c r="X40" s="9"/>
      <c r="Y40" s="9"/>
      <c r="Z40" s="9"/>
      <c r="AA40" s="9"/>
      <c r="AB40" s="9"/>
      <c r="AC40" s="9"/>
      <c r="AD40" s="5"/>
      <c r="AE40" s="10"/>
      <c r="AF40" s="12"/>
      <c r="AG40" s="13"/>
      <c r="AH40" s="5"/>
      <c r="AI40" s="5"/>
      <c r="AJ40" s="8"/>
      <c r="AK40" s="5"/>
      <c r="AL40" s="5"/>
      <c r="AM40" s="12"/>
      <c r="AN40" s="5"/>
      <c r="AO40" s="5"/>
      <c r="AP40" s="10"/>
      <c r="AQ40" s="10"/>
      <c r="AR40" s="10"/>
      <c r="AS40" s="13"/>
      <c r="AT40" s="10"/>
      <c r="AU40" s="10"/>
      <c r="AV40" s="11"/>
      <c r="AW40" s="25"/>
      <c r="AX40" s="10"/>
      <c r="AY40" s="23"/>
      <c r="AZ40" s="9"/>
      <c r="BA40" s="9"/>
      <c r="BB40" s="5"/>
      <c r="BC40" s="12"/>
      <c r="BD40" s="28"/>
    </row>
    <row r="41" spans="12:107" x14ac:dyDescent="0.2">
      <c r="M41" s="8"/>
      <c r="N41" s="14"/>
      <c r="O41" s="14"/>
      <c r="P41" s="10"/>
      <c r="Q41" s="8"/>
      <c r="R41" s="20"/>
      <c r="S41" s="20"/>
      <c r="T41" s="9"/>
      <c r="U41" s="9"/>
      <c r="V41" s="9"/>
      <c r="W41" s="10"/>
      <c r="X41" s="9"/>
      <c r="Y41" s="9"/>
      <c r="Z41" s="9"/>
      <c r="AA41" s="9"/>
      <c r="AB41" s="9"/>
      <c r="AC41" s="9"/>
      <c r="AD41" s="5"/>
      <c r="AE41" s="10"/>
      <c r="AF41" s="12"/>
      <c r="AG41" s="13"/>
      <c r="AH41" s="5"/>
      <c r="AI41" s="5"/>
      <c r="AJ41" s="8"/>
      <c r="AK41" s="5"/>
      <c r="AL41" s="5"/>
      <c r="AM41" s="12"/>
      <c r="AN41" s="5"/>
      <c r="AO41" s="5"/>
      <c r="AP41" s="10"/>
      <c r="AQ41" s="10"/>
      <c r="AR41" s="10"/>
      <c r="AS41" s="13"/>
      <c r="AT41" s="10"/>
      <c r="AU41" s="10"/>
      <c r="AV41" s="11"/>
      <c r="AW41" s="25"/>
      <c r="AX41" s="10"/>
      <c r="AY41" s="23"/>
      <c r="AZ41" s="9"/>
      <c r="BA41" s="9"/>
      <c r="BB41" s="5"/>
      <c r="BC41" s="12"/>
      <c r="BD41" s="28"/>
    </row>
    <row r="42" spans="12:107" x14ac:dyDescent="0.2">
      <c r="M42" s="8"/>
      <c r="N42" s="14"/>
      <c r="O42" s="14"/>
      <c r="P42" s="10"/>
      <c r="Q42" s="8"/>
      <c r="R42" s="20"/>
      <c r="S42" s="20"/>
      <c r="T42" s="9"/>
      <c r="U42" s="9"/>
      <c r="V42" s="9"/>
      <c r="W42" s="10"/>
      <c r="X42" s="9"/>
      <c r="Y42" s="9"/>
      <c r="Z42" s="9"/>
      <c r="AA42" s="9"/>
      <c r="AB42" s="9"/>
      <c r="AC42" s="9"/>
      <c r="AD42" s="5"/>
      <c r="AE42" s="10"/>
      <c r="AF42" s="12"/>
      <c r="AG42" s="13"/>
      <c r="AH42" s="5"/>
      <c r="AI42" s="5"/>
      <c r="AJ42" s="8"/>
      <c r="AK42" s="5"/>
      <c r="AL42" s="5"/>
      <c r="AM42" s="12"/>
      <c r="AN42" s="5"/>
      <c r="AO42" s="5"/>
      <c r="AP42" s="10"/>
      <c r="AQ42" s="10"/>
      <c r="AR42" s="10"/>
      <c r="AS42" s="13"/>
      <c r="AT42" s="10"/>
      <c r="AU42" s="10"/>
      <c r="AV42" s="11"/>
      <c r="AW42" s="25"/>
      <c r="AX42" s="10"/>
      <c r="AY42" s="23"/>
      <c r="AZ42" s="9"/>
      <c r="BA42" s="9"/>
      <c r="BB42" s="5"/>
      <c r="BC42" s="12"/>
      <c r="BD42" s="28"/>
    </row>
    <row r="43" spans="12:107" x14ac:dyDescent="0.2">
      <c r="M43" s="8"/>
      <c r="N43" s="14"/>
      <c r="O43" s="14"/>
      <c r="P43" s="10"/>
      <c r="Q43" s="8"/>
      <c r="R43" s="20"/>
      <c r="S43" s="20"/>
      <c r="T43" s="9"/>
      <c r="U43" s="9"/>
      <c r="V43" s="9"/>
      <c r="W43" s="10"/>
      <c r="X43" s="9"/>
      <c r="Y43" s="9"/>
      <c r="Z43" s="9"/>
      <c r="AA43" s="9"/>
      <c r="AB43" s="9"/>
      <c r="AC43" s="9"/>
      <c r="AD43" s="5"/>
      <c r="AE43" s="10"/>
      <c r="AF43" s="12"/>
      <c r="AG43" s="13"/>
      <c r="AH43" s="5"/>
      <c r="AI43" s="5"/>
      <c r="AJ43" s="8"/>
      <c r="AK43" s="5"/>
      <c r="AL43" s="5"/>
      <c r="AM43" s="12"/>
      <c r="AN43" s="5"/>
      <c r="AO43" s="5"/>
      <c r="AP43" s="10"/>
      <c r="AQ43" s="10"/>
      <c r="AR43" s="10"/>
      <c r="AS43" s="13"/>
      <c r="AT43" s="10"/>
      <c r="AU43" s="10"/>
      <c r="AV43" s="11"/>
      <c r="AW43" s="25"/>
      <c r="AX43" s="10"/>
      <c r="AY43" s="23"/>
      <c r="AZ43" s="9"/>
      <c r="BA43" s="9"/>
      <c r="BB43" s="5"/>
      <c r="BC43" s="12"/>
      <c r="BD43" s="28"/>
    </row>
    <row r="44" spans="12:107" x14ac:dyDescent="0.2">
      <c r="M44" s="8"/>
      <c r="N44" s="14"/>
      <c r="O44" s="14"/>
      <c r="P44" s="10"/>
      <c r="Q44" s="8"/>
      <c r="R44" s="20"/>
      <c r="S44" s="20"/>
      <c r="T44" s="9"/>
      <c r="U44" s="9"/>
      <c r="V44" s="9"/>
      <c r="W44" s="10"/>
      <c r="X44" s="9"/>
      <c r="Y44" s="9"/>
      <c r="Z44" s="9"/>
      <c r="AA44" s="9"/>
      <c r="AB44" s="9"/>
      <c r="AC44" s="9"/>
      <c r="AD44" s="5"/>
      <c r="AE44" s="10"/>
      <c r="AF44" s="12"/>
      <c r="AG44" s="13"/>
      <c r="AH44" s="5"/>
      <c r="AI44" s="5"/>
      <c r="AJ44" s="8"/>
      <c r="AK44" s="5"/>
      <c r="AL44" s="5"/>
      <c r="AM44" s="12"/>
      <c r="AN44" s="5"/>
      <c r="AO44" s="5"/>
      <c r="AP44" s="10"/>
      <c r="AQ44" s="10"/>
      <c r="AR44" s="10"/>
      <c r="AS44" s="13"/>
      <c r="AT44" s="10"/>
      <c r="AU44" s="10"/>
      <c r="AV44" s="11"/>
      <c r="AW44" s="25"/>
      <c r="AX44" s="10"/>
      <c r="AY44" s="23"/>
      <c r="AZ44" s="9"/>
      <c r="BA44" s="9"/>
      <c r="BB44" s="5"/>
      <c r="BC44" s="12"/>
      <c r="BD44" s="28"/>
    </row>
    <row r="45" spans="12:107" x14ac:dyDescent="0.2">
      <c r="M45" s="8"/>
      <c r="N45" s="14"/>
      <c r="O45" s="14"/>
      <c r="P45" s="10"/>
      <c r="Q45" s="8"/>
      <c r="R45" s="20"/>
      <c r="S45" s="20"/>
      <c r="T45" s="9"/>
      <c r="U45" s="9"/>
      <c r="V45" s="9"/>
      <c r="W45" s="10"/>
      <c r="X45" s="9"/>
      <c r="Y45" s="9"/>
      <c r="Z45" s="9"/>
      <c r="AA45" s="9"/>
      <c r="AB45" s="9"/>
      <c r="AC45" s="9"/>
      <c r="AD45" s="5"/>
      <c r="AE45" s="10"/>
      <c r="AF45" s="12"/>
      <c r="AG45" s="13"/>
      <c r="AH45" s="5"/>
      <c r="AI45" s="5"/>
      <c r="AJ45" s="8"/>
      <c r="AK45" s="5"/>
      <c r="AL45" s="5"/>
      <c r="AM45" s="12"/>
      <c r="AN45" s="5"/>
      <c r="AO45" s="5"/>
      <c r="AP45" s="10"/>
      <c r="AQ45" s="10"/>
      <c r="AR45" s="10"/>
      <c r="AS45" s="13"/>
      <c r="AT45" s="10"/>
      <c r="AU45" s="10"/>
      <c r="AV45" s="11"/>
      <c r="AW45" s="25"/>
      <c r="AX45" s="10"/>
      <c r="AY45" s="23"/>
      <c r="AZ45" s="9"/>
      <c r="BA45" s="9"/>
      <c r="BB45" s="5"/>
      <c r="BC45" s="12"/>
      <c r="BD45" s="28"/>
    </row>
    <row r="46" spans="12:107" x14ac:dyDescent="0.2">
      <c r="M46" s="8"/>
      <c r="N46" s="14"/>
      <c r="O46" s="14"/>
      <c r="P46" s="10"/>
      <c r="Q46" s="8"/>
      <c r="R46" s="20"/>
      <c r="S46" s="20"/>
      <c r="T46" s="9"/>
      <c r="U46" s="9"/>
      <c r="V46" s="9"/>
      <c r="W46" s="10"/>
      <c r="X46" s="9"/>
      <c r="Y46" s="9"/>
      <c r="Z46" s="9"/>
      <c r="AA46" s="9"/>
      <c r="AB46" s="9"/>
      <c r="AC46" s="9"/>
      <c r="AD46" s="5"/>
      <c r="AE46" s="10"/>
      <c r="AF46" s="12"/>
      <c r="AG46" s="13"/>
      <c r="AH46" s="5"/>
      <c r="AI46" s="5"/>
      <c r="AJ46" s="8"/>
      <c r="AK46" s="5"/>
      <c r="AL46" s="5"/>
      <c r="AM46" s="12"/>
      <c r="AN46" s="5"/>
      <c r="AO46" s="5"/>
      <c r="AP46" s="10"/>
      <c r="AQ46" s="10"/>
      <c r="AR46" s="10"/>
      <c r="AS46" s="13"/>
      <c r="AT46" s="10"/>
      <c r="AU46" s="10"/>
      <c r="AV46" s="11"/>
      <c r="AW46" s="25"/>
      <c r="AX46" s="10"/>
      <c r="AY46" s="23"/>
      <c r="AZ46" s="9"/>
      <c r="BA46" s="9"/>
      <c r="BB46" s="5"/>
      <c r="BC46" s="12"/>
      <c r="BD46" s="28"/>
    </row>
    <row r="47" spans="12:107" x14ac:dyDescent="0.2">
      <c r="M47" s="8"/>
      <c r="N47" s="14"/>
      <c r="O47" s="14"/>
      <c r="P47" s="8"/>
      <c r="Q47" s="8"/>
      <c r="R47" s="20"/>
      <c r="S47" s="20"/>
      <c r="T47" s="9"/>
      <c r="U47" s="9"/>
      <c r="V47" s="9"/>
      <c r="W47" s="9"/>
      <c r="X47" s="9"/>
      <c r="Y47" s="9"/>
      <c r="Z47" s="9"/>
      <c r="AA47" s="9"/>
      <c r="AB47" s="5"/>
      <c r="AC47" s="10"/>
      <c r="AD47" s="11"/>
      <c r="AE47" s="13"/>
      <c r="AF47" s="5"/>
      <c r="AG47" s="5"/>
      <c r="AH47" s="5"/>
      <c r="AI47" s="5"/>
      <c r="AJ47" s="5"/>
      <c r="AK47" s="11"/>
      <c r="AL47" s="5"/>
      <c r="AM47" s="5"/>
      <c r="AN47" s="11"/>
      <c r="AP47" s="5"/>
      <c r="AQ47" s="10"/>
      <c r="AR47" s="9"/>
      <c r="AS47" s="5"/>
    </row>
    <row r="48" spans="12:107" s="6" customFormat="1" x14ac:dyDescent="0.2">
      <c r="L48" s="36"/>
      <c r="M48" s="8"/>
      <c r="N48" s="14"/>
      <c r="O48" s="14"/>
      <c r="P48" s="8"/>
      <c r="Q48" s="8"/>
      <c r="R48" s="20"/>
      <c r="S48" s="20"/>
      <c r="T48" s="9"/>
      <c r="U48" s="9"/>
      <c r="V48" s="9"/>
      <c r="W48" s="9"/>
      <c r="X48" s="9"/>
      <c r="Y48" s="9"/>
      <c r="Z48" s="9"/>
      <c r="AA48" s="9"/>
      <c r="AB48" s="5"/>
      <c r="AC48" s="10"/>
      <c r="AD48" s="11"/>
      <c r="AE48" s="13"/>
      <c r="AF48" s="5"/>
      <c r="AG48" s="5"/>
      <c r="AH48" s="5"/>
      <c r="AI48" s="5"/>
      <c r="AJ48" s="5"/>
      <c r="AK48" s="11"/>
      <c r="AL48" s="5"/>
      <c r="AM48" s="5"/>
      <c r="AN48" s="11"/>
      <c r="AP48" s="5"/>
      <c r="AQ48" s="10"/>
      <c r="AR48" s="9"/>
      <c r="AS48" s="5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</row>
    <row r="49" spans="12:107" s="6" customFormat="1" x14ac:dyDescent="0.2">
      <c r="L49" s="36"/>
      <c r="M49" s="8"/>
      <c r="N49" s="14"/>
      <c r="O49" s="14"/>
      <c r="P49" s="8"/>
      <c r="Q49" s="8"/>
      <c r="R49" s="20"/>
      <c r="S49" s="20"/>
      <c r="T49" s="9"/>
      <c r="U49" s="9"/>
      <c r="V49" s="9"/>
      <c r="W49" s="9"/>
      <c r="X49" s="9"/>
      <c r="Y49" s="9"/>
      <c r="Z49" s="9"/>
      <c r="AA49" s="9"/>
      <c r="AB49" s="5"/>
      <c r="AC49" s="10"/>
      <c r="AD49" s="11"/>
      <c r="AE49" s="13"/>
      <c r="AF49" s="5"/>
      <c r="AG49" s="5"/>
      <c r="AH49" s="5"/>
      <c r="AI49" s="5"/>
      <c r="AJ49" s="5"/>
      <c r="AK49" s="11"/>
      <c r="AL49" s="5"/>
      <c r="AM49" s="5"/>
      <c r="AN49" s="11"/>
      <c r="AP49" s="5"/>
      <c r="AQ49" s="10"/>
      <c r="AR49" s="9"/>
      <c r="AS49" s="5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</row>
    <row r="50" spans="12:107" x14ac:dyDescent="0.2">
      <c r="M50" s="8"/>
      <c r="N50" s="14"/>
      <c r="O50" s="14"/>
      <c r="P50" s="8"/>
      <c r="Q50" s="8"/>
      <c r="R50" s="20"/>
      <c r="S50" s="20"/>
      <c r="T50" s="9"/>
      <c r="U50" s="9"/>
      <c r="V50" s="9"/>
      <c r="W50" s="9"/>
      <c r="X50" s="9"/>
      <c r="Y50" s="9"/>
      <c r="Z50" s="9"/>
      <c r="AA50" s="9"/>
      <c r="AB50" s="5"/>
      <c r="AC50" s="10"/>
      <c r="AD50" s="11"/>
      <c r="AE50" s="13"/>
      <c r="AF50" s="5"/>
      <c r="AG50" s="5"/>
      <c r="AH50" s="5"/>
      <c r="AI50" s="5"/>
      <c r="AJ50" s="5"/>
      <c r="AK50" s="11"/>
      <c r="AL50" s="5"/>
      <c r="AM50" s="5"/>
      <c r="AN50" s="11"/>
      <c r="AP50" s="5"/>
      <c r="AQ50" s="10"/>
      <c r="AR50" s="9"/>
      <c r="AS50" s="5"/>
    </row>
    <row r="51" spans="12:107" x14ac:dyDescent="0.2">
      <c r="M51" s="8"/>
      <c r="N51" s="14"/>
      <c r="O51" s="14"/>
      <c r="P51" s="8"/>
      <c r="Q51" s="8"/>
      <c r="R51" s="20"/>
      <c r="S51" s="20"/>
      <c r="T51" s="9"/>
      <c r="U51" s="9"/>
      <c r="V51" s="9"/>
      <c r="W51" s="9"/>
      <c r="X51" s="9"/>
      <c r="Y51" s="9"/>
      <c r="Z51" s="9"/>
      <c r="AA51" s="9"/>
      <c r="AB51" s="5"/>
      <c r="AC51" s="10"/>
      <c r="AD51" s="11"/>
      <c r="AE51" s="13"/>
      <c r="AF51" s="5"/>
      <c r="AG51" s="5"/>
      <c r="AH51" s="5"/>
      <c r="AI51" s="5"/>
      <c r="AJ51" s="5"/>
      <c r="AK51" s="11"/>
      <c r="AL51" s="5"/>
      <c r="AM51" s="5"/>
      <c r="AN51" s="11"/>
      <c r="AP51" s="5"/>
      <c r="AQ51" s="10"/>
      <c r="AR51" s="9"/>
      <c r="AS51" s="5"/>
    </row>
    <row r="52" spans="12:107" x14ac:dyDescent="0.2">
      <c r="M52" s="8"/>
      <c r="N52" s="14"/>
      <c r="O52" s="14"/>
      <c r="P52" s="18"/>
      <c r="Q52" s="18"/>
      <c r="R52" s="20"/>
      <c r="S52" s="20"/>
      <c r="T52" s="9"/>
      <c r="U52" s="9"/>
      <c r="V52" s="9"/>
      <c r="W52" s="9"/>
      <c r="X52" s="9"/>
      <c r="Y52" s="9"/>
      <c r="Z52" s="9"/>
      <c r="AA52" s="9"/>
      <c r="AB52" s="5"/>
      <c r="AC52" s="10"/>
      <c r="AD52" s="11"/>
      <c r="AE52" s="13"/>
      <c r="AF52" s="5"/>
      <c r="AG52" s="5"/>
      <c r="AH52" s="5"/>
      <c r="AI52" s="5"/>
      <c r="AJ52" s="5"/>
      <c r="AK52" s="11"/>
      <c r="AL52" s="5"/>
      <c r="AM52" s="5"/>
      <c r="AN52" s="11"/>
      <c r="AO52" s="10"/>
      <c r="AP52" s="5"/>
      <c r="AQ52" s="10"/>
      <c r="AR52" s="9"/>
      <c r="AS52" s="5"/>
    </row>
    <row r="53" spans="12:107" x14ac:dyDescent="0.2">
      <c r="M53" s="8"/>
      <c r="N53" s="14"/>
      <c r="O53" s="14"/>
      <c r="P53" s="18"/>
      <c r="Q53" s="18"/>
      <c r="R53" s="20"/>
      <c r="S53" s="20"/>
      <c r="T53" s="9"/>
      <c r="U53" s="9"/>
      <c r="V53" s="9"/>
      <c r="W53" s="9"/>
      <c r="X53" s="9"/>
      <c r="Y53" s="9"/>
      <c r="Z53" s="9"/>
      <c r="AA53" s="9"/>
      <c r="AB53" s="5"/>
      <c r="AC53" s="10"/>
      <c r="AD53" s="11"/>
      <c r="AE53" s="13"/>
      <c r="AF53" s="5"/>
      <c r="AG53" s="5"/>
      <c r="AH53" s="5"/>
      <c r="AI53" s="5"/>
      <c r="AJ53" s="5"/>
      <c r="AK53" s="11"/>
      <c r="AL53" s="5"/>
      <c r="AM53" s="5"/>
      <c r="AN53" s="11"/>
      <c r="AO53" s="10"/>
      <c r="AP53" s="5"/>
      <c r="AQ53" s="10"/>
      <c r="AR53" s="9"/>
      <c r="AS53" s="5"/>
    </row>
    <row r="54" spans="12:107" x14ac:dyDescent="0.2">
      <c r="M54" s="8"/>
      <c r="N54" s="14"/>
      <c r="O54" s="14"/>
      <c r="P54" s="8"/>
      <c r="Q54" s="8"/>
      <c r="R54" s="20"/>
      <c r="S54" s="20"/>
      <c r="T54" s="9"/>
      <c r="U54" s="9"/>
      <c r="V54" s="9"/>
      <c r="W54" s="9"/>
      <c r="X54" s="9"/>
      <c r="Y54" s="9"/>
      <c r="Z54" s="9"/>
      <c r="AA54" s="9"/>
      <c r="AB54" s="5"/>
      <c r="AC54" s="10"/>
      <c r="AD54" s="11"/>
      <c r="AE54" s="13"/>
      <c r="AF54" s="5"/>
      <c r="AG54" s="5"/>
      <c r="AH54" s="5"/>
      <c r="AI54" s="5"/>
      <c r="AJ54" s="5"/>
      <c r="AK54" s="11"/>
      <c r="AL54" s="5"/>
      <c r="AM54" s="5"/>
      <c r="AN54" s="11"/>
      <c r="AO54" s="10"/>
      <c r="AP54" s="5"/>
      <c r="AQ54" s="10"/>
      <c r="AR54" s="9"/>
      <c r="AS54" s="5"/>
    </row>
    <row r="55" spans="12:107" x14ac:dyDescent="0.2">
      <c r="M55" s="8"/>
      <c r="N55" s="14"/>
      <c r="O55" s="14"/>
      <c r="P55" s="8"/>
      <c r="Q55" s="8"/>
      <c r="R55" s="20"/>
      <c r="S55" s="20"/>
      <c r="T55" s="9"/>
      <c r="U55" s="9"/>
      <c r="V55" s="9"/>
      <c r="W55" s="9"/>
      <c r="X55" s="9"/>
      <c r="Y55" s="9"/>
      <c r="Z55" s="9"/>
      <c r="AA55" s="9"/>
      <c r="AB55" s="5"/>
      <c r="AC55" s="10"/>
      <c r="AD55" s="11"/>
      <c r="AE55" s="13"/>
      <c r="AF55" s="5"/>
      <c r="AG55" s="5"/>
      <c r="AH55" s="5"/>
      <c r="AI55" s="5"/>
      <c r="AJ55" s="5"/>
      <c r="AK55" s="11"/>
      <c r="AL55" s="5"/>
      <c r="AM55" s="5"/>
      <c r="AN55" s="11"/>
      <c r="AO55" s="10"/>
      <c r="AP55" s="5"/>
      <c r="AQ55" s="10"/>
      <c r="AR55" s="9"/>
      <c r="AS55" s="5"/>
    </row>
    <row r="56" spans="12:107" x14ac:dyDescent="0.2">
      <c r="M56" s="8"/>
      <c r="N56" s="14"/>
      <c r="O56" s="14"/>
      <c r="P56" s="8"/>
      <c r="Q56" s="8"/>
      <c r="R56" s="20"/>
      <c r="S56" s="20"/>
      <c r="T56" s="9"/>
      <c r="U56" s="9"/>
      <c r="V56" s="9"/>
      <c r="W56" s="9"/>
      <c r="X56" s="9"/>
      <c r="Y56" s="9"/>
      <c r="Z56" s="9"/>
      <c r="AA56" s="9"/>
      <c r="AB56" s="5"/>
      <c r="AC56" s="10"/>
      <c r="AD56" s="11"/>
      <c r="AE56" s="13"/>
      <c r="AF56" s="5"/>
      <c r="AG56" s="5"/>
      <c r="AH56" s="5"/>
      <c r="AI56" s="5"/>
      <c r="AJ56" s="5"/>
      <c r="AK56" s="11"/>
      <c r="AL56" s="5"/>
      <c r="AM56" s="5"/>
      <c r="AN56" s="11"/>
      <c r="AO56" s="10"/>
      <c r="AP56" s="5"/>
      <c r="AQ56" s="10"/>
      <c r="AR56" s="9"/>
      <c r="AS56" s="5"/>
    </row>
    <row r="57" spans="12:107" x14ac:dyDescent="0.2">
      <c r="M57" s="8"/>
      <c r="N57" s="14"/>
      <c r="O57" s="14"/>
      <c r="P57" s="8"/>
      <c r="Q57" s="8"/>
      <c r="R57" s="20"/>
      <c r="S57" s="20"/>
      <c r="T57" s="9"/>
      <c r="U57" s="9"/>
      <c r="V57" s="9"/>
      <c r="W57" s="9"/>
      <c r="X57" s="9"/>
      <c r="Y57" s="9"/>
      <c r="Z57" s="9"/>
      <c r="AA57" s="9"/>
      <c r="AB57" s="5"/>
      <c r="AC57" s="10"/>
      <c r="AD57" s="11"/>
      <c r="AE57" s="13"/>
      <c r="AF57" s="5"/>
      <c r="AG57" s="5"/>
      <c r="AH57" s="5"/>
      <c r="AI57" s="5"/>
      <c r="AJ57" s="5"/>
      <c r="AK57" s="11"/>
      <c r="AL57" s="5"/>
      <c r="AM57" s="5"/>
      <c r="AN57" s="11"/>
      <c r="AO57" s="10"/>
      <c r="AP57" s="5"/>
      <c r="AQ57" s="10"/>
      <c r="AR57" s="9"/>
      <c r="AS57" s="5"/>
    </row>
    <row r="58" spans="12:107" x14ac:dyDescent="0.2">
      <c r="M58" s="8"/>
      <c r="N58" s="14"/>
      <c r="O58" s="14"/>
      <c r="P58" s="8"/>
      <c r="Q58" s="8"/>
      <c r="R58" s="20"/>
      <c r="S58" s="20"/>
      <c r="T58" s="9"/>
      <c r="U58" s="9"/>
      <c r="V58" s="9"/>
      <c r="W58" s="9"/>
      <c r="X58" s="9"/>
      <c r="Y58" s="9"/>
      <c r="Z58" s="9"/>
      <c r="AA58" s="9"/>
      <c r="AB58" s="5"/>
      <c r="AC58" s="10"/>
      <c r="AD58" s="11"/>
      <c r="AE58" s="13"/>
      <c r="AF58" s="5"/>
      <c r="AG58" s="5"/>
      <c r="AH58" s="5"/>
      <c r="AI58" s="5"/>
      <c r="AJ58" s="5"/>
      <c r="AK58" s="11"/>
      <c r="AL58" s="5"/>
      <c r="AM58" s="5"/>
      <c r="AN58" s="11"/>
      <c r="AO58" s="10"/>
      <c r="AP58" s="5"/>
      <c r="AQ58" s="10"/>
      <c r="AR58" s="9"/>
      <c r="AS58" s="5"/>
    </row>
    <row r="59" spans="12:107" x14ac:dyDescent="0.2">
      <c r="M59" s="8"/>
      <c r="N59" s="14"/>
      <c r="O59" s="14"/>
      <c r="P59" s="8"/>
      <c r="Q59" s="8"/>
      <c r="R59" s="20"/>
      <c r="S59" s="20"/>
      <c r="T59" s="9"/>
      <c r="U59" s="9"/>
      <c r="V59" s="9"/>
      <c r="W59" s="9"/>
      <c r="X59" s="9"/>
      <c r="Y59" s="9"/>
      <c r="Z59" s="9"/>
      <c r="AA59" s="9"/>
      <c r="AB59" s="5"/>
      <c r="AC59" s="10"/>
      <c r="AD59" s="11"/>
      <c r="AE59" s="13"/>
      <c r="AF59" s="5"/>
      <c r="AG59" s="5"/>
      <c r="AH59" s="5"/>
      <c r="AI59" s="5"/>
      <c r="AJ59" s="5"/>
      <c r="AK59" s="11"/>
      <c r="AL59" s="5"/>
      <c r="AM59" s="5"/>
      <c r="AN59" s="11"/>
      <c r="AO59" s="10"/>
      <c r="AP59" s="5"/>
      <c r="AQ59" s="10"/>
      <c r="AR59" s="9"/>
      <c r="AS59" s="5"/>
    </row>
    <row r="60" spans="12:107" x14ac:dyDescent="0.2">
      <c r="M60" s="8"/>
      <c r="N60" s="14"/>
      <c r="O60" s="14"/>
      <c r="P60" s="8"/>
      <c r="Q60" s="8"/>
      <c r="R60" s="20"/>
      <c r="S60" s="20"/>
      <c r="T60" s="9"/>
      <c r="U60" s="9"/>
      <c r="V60" s="9"/>
      <c r="W60" s="9"/>
      <c r="X60" s="9"/>
      <c r="Y60" s="9"/>
      <c r="Z60" s="9"/>
      <c r="AA60" s="9"/>
      <c r="AB60" s="5"/>
      <c r="AC60" s="10"/>
      <c r="AD60" s="11"/>
      <c r="AE60" s="13"/>
      <c r="AF60" s="5"/>
      <c r="AG60" s="5"/>
      <c r="AH60" s="5"/>
      <c r="AI60" s="5"/>
      <c r="AJ60" s="5"/>
      <c r="AK60" s="11"/>
      <c r="AL60" s="5"/>
      <c r="AM60" s="5"/>
      <c r="AN60" s="11"/>
      <c r="AO60" s="10"/>
      <c r="AP60" s="5"/>
      <c r="AQ60" s="10"/>
      <c r="AR60" s="9"/>
      <c r="AS60" s="5"/>
    </row>
    <row r="61" spans="12:107" x14ac:dyDescent="0.2">
      <c r="M61" s="8"/>
      <c r="N61" s="14"/>
      <c r="O61" s="14"/>
      <c r="P61" s="8"/>
      <c r="Q61" s="8"/>
      <c r="R61" s="20"/>
      <c r="S61" s="20"/>
      <c r="T61" s="9"/>
      <c r="U61" s="9"/>
      <c r="V61" s="9"/>
      <c r="W61" s="9"/>
      <c r="X61" s="9"/>
      <c r="Y61" s="9"/>
      <c r="Z61" s="9"/>
      <c r="AA61" s="9"/>
      <c r="AB61" s="5"/>
      <c r="AC61" s="10"/>
      <c r="AD61" s="11"/>
      <c r="AE61" s="13"/>
      <c r="AF61" s="5"/>
      <c r="AG61" s="5"/>
      <c r="AH61" s="5"/>
      <c r="AI61" s="5"/>
      <c r="AJ61" s="5"/>
      <c r="AK61" s="11"/>
      <c r="AL61" s="5"/>
      <c r="AM61" s="5"/>
      <c r="AN61" s="11"/>
      <c r="AO61" s="10"/>
      <c r="AP61" s="5"/>
      <c r="AQ61" s="10"/>
      <c r="AR61" s="9"/>
      <c r="AS61" s="5"/>
    </row>
    <row r="62" spans="12:107" x14ac:dyDescent="0.2">
      <c r="M62" s="8"/>
      <c r="N62" s="14"/>
      <c r="O62" s="14"/>
      <c r="P62" s="8"/>
      <c r="Q62" s="8"/>
      <c r="R62" s="20"/>
      <c r="S62" s="20"/>
      <c r="T62" s="9"/>
      <c r="U62" s="9"/>
      <c r="V62" s="9"/>
      <c r="W62" s="9"/>
      <c r="X62" s="9"/>
      <c r="Y62" s="9"/>
      <c r="Z62" s="9"/>
      <c r="AA62" s="9"/>
      <c r="AB62" s="5"/>
      <c r="AC62" s="10"/>
      <c r="AD62" s="11"/>
      <c r="AE62" s="13"/>
      <c r="AF62" s="5"/>
      <c r="AG62" s="5"/>
      <c r="AH62" s="5"/>
      <c r="AI62" s="5"/>
      <c r="AJ62" s="5"/>
      <c r="AK62" s="11"/>
      <c r="AL62" s="5"/>
      <c r="AM62" s="5"/>
      <c r="AN62" s="11"/>
      <c r="AO62" s="10"/>
      <c r="AP62" s="5"/>
      <c r="AQ62" s="10"/>
      <c r="AR62" s="9"/>
      <c r="AS62" s="5"/>
    </row>
    <row r="63" spans="12:107" x14ac:dyDescent="0.2">
      <c r="M63" s="8"/>
      <c r="N63" s="14"/>
      <c r="O63" s="14"/>
      <c r="P63" s="8"/>
      <c r="Q63" s="8"/>
      <c r="R63" s="20"/>
      <c r="S63" s="20"/>
      <c r="T63" s="9"/>
      <c r="U63" s="9"/>
      <c r="V63" s="9"/>
      <c r="W63" s="9"/>
      <c r="X63" s="9"/>
      <c r="Y63" s="9"/>
      <c r="Z63" s="9"/>
      <c r="AA63" s="9"/>
      <c r="AB63" s="5"/>
      <c r="AC63" s="10"/>
      <c r="AD63" s="11"/>
      <c r="AE63" s="13"/>
      <c r="AF63" s="5"/>
      <c r="AG63" s="5"/>
      <c r="AH63" s="5"/>
      <c r="AI63" s="5"/>
      <c r="AJ63" s="5"/>
      <c r="AK63" s="11"/>
      <c r="AL63" s="5"/>
      <c r="AM63" s="5"/>
      <c r="AN63" s="11"/>
      <c r="AO63" s="10"/>
      <c r="AP63" s="5"/>
      <c r="AQ63" s="10"/>
      <c r="AR63" s="9"/>
      <c r="AS63" s="5"/>
    </row>
    <row r="64" spans="12:107" x14ac:dyDescent="0.2">
      <c r="M64" s="8"/>
      <c r="N64" s="14"/>
      <c r="O64" s="14"/>
      <c r="P64" s="8"/>
      <c r="Q64" s="8"/>
      <c r="R64" s="20"/>
      <c r="S64" s="20"/>
      <c r="T64" s="9"/>
      <c r="U64" s="9"/>
      <c r="V64" s="9"/>
      <c r="W64" s="9"/>
      <c r="X64" s="9"/>
      <c r="Y64" s="9"/>
      <c r="Z64" s="9"/>
      <c r="AA64" s="9"/>
      <c r="AB64" s="5"/>
      <c r="AC64" s="10"/>
      <c r="AD64" s="11"/>
      <c r="AE64" s="13"/>
      <c r="AF64" s="5"/>
      <c r="AG64" s="5"/>
      <c r="AH64" s="5"/>
      <c r="AI64" s="5"/>
      <c r="AJ64" s="5"/>
      <c r="AK64" s="11"/>
      <c r="AL64" s="5"/>
      <c r="AM64" s="5"/>
      <c r="AN64" s="11"/>
      <c r="AO64" s="10"/>
      <c r="AP64" s="5"/>
      <c r="AQ64" s="10"/>
      <c r="AR64" s="9"/>
      <c r="AS64" s="5"/>
    </row>
    <row r="65" spans="13:46" x14ac:dyDescent="0.2">
      <c r="M65" s="8"/>
      <c r="N65" s="14"/>
      <c r="O65" s="14"/>
      <c r="P65" s="8"/>
      <c r="Q65" s="8"/>
      <c r="R65" s="20"/>
      <c r="S65" s="20"/>
      <c r="T65" s="9"/>
      <c r="U65" s="9"/>
      <c r="V65" s="9"/>
      <c r="W65" s="9"/>
      <c r="X65" s="9"/>
      <c r="Y65" s="9"/>
      <c r="Z65" s="9"/>
      <c r="AA65" s="9"/>
      <c r="AB65" s="5"/>
      <c r="AC65" s="10"/>
      <c r="AD65" s="11"/>
      <c r="AE65" s="13"/>
      <c r="AF65" s="5"/>
      <c r="AG65" s="5"/>
      <c r="AH65" s="5"/>
      <c r="AI65" s="5"/>
      <c r="AJ65" s="5"/>
      <c r="AK65" s="11"/>
      <c r="AL65" s="5"/>
      <c r="AM65" s="5"/>
      <c r="AN65" s="11"/>
      <c r="AO65" s="10"/>
      <c r="AP65" s="5"/>
      <c r="AQ65" s="10"/>
      <c r="AR65" s="9"/>
      <c r="AS65" s="5"/>
    </row>
    <row r="66" spans="13:46" x14ac:dyDescent="0.2">
      <c r="M66" s="8"/>
      <c r="N66" s="14"/>
      <c r="O66" s="14"/>
      <c r="P66" s="8"/>
      <c r="Q66" s="8"/>
      <c r="R66" s="20"/>
      <c r="S66" s="20"/>
      <c r="T66" s="9"/>
      <c r="U66" s="9"/>
      <c r="V66" s="9"/>
      <c r="W66" s="9"/>
      <c r="X66" s="9"/>
      <c r="Y66" s="9"/>
      <c r="Z66" s="9"/>
      <c r="AA66" s="9"/>
      <c r="AB66" s="5"/>
      <c r="AC66" s="10"/>
      <c r="AD66" s="11"/>
      <c r="AE66" s="13"/>
      <c r="AF66" s="5"/>
      <c r="AG66" s="5"/>
      <c r="AH66" s="5"/>
      <c r="AI66" s="5"/>
      <c r="AJ66" s="5"/>
      <c r="AK66" s="11"/>
      <c r="AL66" s="5"/>
      <c r="AM66" s="5"/>
      <c r="AN66" s="11"/>
      <c r="AO66" s="10"/>
      <c r="AP66" s="5"/>
      <c r="AQ66" s="10"/>
      <c r="AR66" s="9"/>
      <c r="AS66" s="5"/>
    </row>
    <row r="67" spans="13:46" x14ac:dyDescent="0.2">
      <c r="M67" s="8"/>
      <c r="N67" s="14"/>
      <c r="O67" s="14"/>
      <c r="P67" s="8"/>
      <c r="Q67" s="8"/>
      <c r="R67" s="20"/>
      <c r="S67" s="20"/>
      <c r="T67" s="9"/>
      <c r="U67" s="9"/>
      <c r="V67" s="9"/>
      <c r="W67" s="9"/>
      <c r="X67" s="9"/>
      <c r="Y67" s="9"/>
      <c r="Z67" s="9"/>
      <c r="AA67" s="9"/>
      <c r="AB67" s="5"/>
      <c r="AC67" s="10"/>
      <c r="AD67" s="11"/>
      <c r="AE67" s="13"/>
      <c r="AF67" s="5"/>
      <c r="AG67" s="5"/>
      <c r="AH67" s="5"/>
      <c r="AI67" s="5"/>
      <c r="AJ67" s="5"/>
      <c r="AK67" s="11"/>
      <c r="AL67" s="5"/>
      <c r="AM67" s="5"/>
      <c r="AN67" s="11"/>
      <c r="AO67" s="10"/>
      <c r="AP67" s="5"/>
      <c r="AQ67" s="10"/>
      <c r="AR67" s="9"/>
      <c r="AS67" s="5"/>
    </row>
    <row r="68" spans="13:46" x14ac:dyDescent="0.2">
      <c r="M68" s="8"/>
      <c r="N68" s="14"/>
      <c r="O68" s="14"/>
      <c r="P68" s="8"/>
      <c r="Q68" s="8"/>
      <c r="R68" s="20"/>
      <c r="S68" s="20"/>
      <c r="T68" s="9"/>
      <c r="U68" s="9"/>
      <c r="V68" s="9"/>
      <c r="W68" s="9"/>
      <c r="X68" s="9"/>
      <c r="Y68" s="9"/>
      <c r="Z68" s="9"/>
      <c r="AA68" s="9"/>
      <c r="AB68" s="5"/>
      <c r="AC68" s="10"/>
      <c r="AD68" s="11"/>
      <c r="AE68" s="13"/>
      <c r="AF68" s="5"/>
      <c r="AG68" s="5"/>
      <c r="AH68" s="5"/>
      <c r="AI68" s="5"/>
      <c r="AJ68" s="5"/>
      <c r="AK68" s="11"/>
      <c r="AL68" s="5"/>
      <c r="AM68" s="5"/>
      <c r="AN68" s="11"/>
      <c r="AO68" s="10"/>
      <c r="AP68" s="5"/>
      <c r="AQ68" s="10"/>
      <c r="AR68" s="9"/>
      <c r="AS68" s="5"/>
    </row>
    <row r="69" spans="13:46" x14ac:dyDescent="0.2">
      <c r="M69" s="8"/>
      <c r="N69" s="14"/>
      <c r="O69" s="14"/>
      <c r="P69" s="8"/>
      <c r="Q69" s="8"/>
      <c r="R69" s="20"/>
      <c r="S69" s="20"/>
      <c r="T69" s="9"/>
      <c r="U69" s="9"/>
      <c r="V69" s="9"/>
      <c r="W69" s="9"/>
      <c r="X69" s="9"/>
      <c r="Y69" s="9"/>
      <c r="Z69" s="9"/>
      <c r="AA69" s="9"/>
      <c r="AB69" s="5"/>
      <c r="AC69" s="10"/>
      <c r="AD69" s="11"/>
      <c r="AE69" s="13"/>
      <c r="AF69" s="5"/>
      <c r="AG69" s="5"/>
      <c r="AH69" s="5"/>
      <c r="AI69" s="5"/>
      <c r="AJ69" s="5"/>
      <c r="AK69" s="11"/>
      <c r="AL69" s="5"/>
      <c r="AM69" s="5"/>
      <c r="AN69" s="11"/>
      <c r="AO69" s="10"/>
      <c r="AP69" s="5"/>
      <c r="AQ69" s="10"/>
      <c r="AR69" s="9"/>
      <c r="AS69" s="5"/>
    </row>
    <row r="70" spans="13:46" x14ac:dyDescent="0.2">
      <c r="M70" s="8"/>
      <c r="N70" s="14"/>
      <c r="O70" s="14"/>
      <c r="P70" s="18"/>
      <c r="Q70" s="18"/>
      <c r="R70" s="20"/>
      <c r="S70" s="20"/>
      <c r="T70" s="9"/>
      <c r="U70" s="9"/>
      <c r="V70" s="9"/>
      <c r="W70" s="9"/>
      <c r="X70" s="9"/>
      <c r="Y70" s="9"/>
      <c r="Z70" s="9"/>
      <c r="AA70" s="9"/>
      <c r="AB70" s="5"/>
      <c r="AC70" s="10"/>
      <c r="AD70" s="11"/>
      <c r="AE70" s="13"/>
      <c r="AF70" s="5"/>
      <c r="AG70" s="5"/>
      <c r="AH70" s="5"/>
      <c r="AI70" s="5"/>
      <c r="AJ70" s="5"/>
      <c r="AK70" s="11"/>
      <c r="AL70" s="5"/>
      <c r="AM70" s="5"/>
      <c r="AN70" s="11"/>
      <c r="AO70" s="10"/>
      <c r="AP70" s="5"/>
      <c r="AQ70" s="10"/>
      <c r="AR70" s="9"/>
      <c r="AS70" s="5"/>
    </row>
    <row r="71" spans="13:46" x14ac:dyDescent="0.2">
      <c r="M71" s="8"/>
      <c r="N71" s="14"/>
      <c r="O71" s="14"/>
      <c r="P71" s="18"/>
      <c r="Q71" s="18"/>
      <c r="R71" s="20"/>
      <c r="S71" s="20"/>
      <c r="T71" s="9"/>
      <c r="U71" s="9"/>
      <c r="V71" s="9"/>
      <c r="W71" s="9"/>
      <c r="X71" s="9"/>
      <c r="Y71" s="9"/>
      <c r="Z71" s="9"/>
      <c r="AA71" s="9"/>
      <c r="AB71" s="5"/>
      <c r="AC71" s="10"/>
      <c r="AD71" s="11"/>
      <c r="AE71" s="13"/>
      <c r="AF71" s="5"/>
      <c r="AG71" s="5"/>
      <c r="AH71" s="5"/>
      <c r="AI71" s="5"/>
      <c r="AJ71" s="5"/>
      <c r="AK71" s="11"/>
      <c r="AL71" s="5"/>
      <c r="AM71" s="5"/>
      <c r="AN71" s="11"/>
      <c r="AO71" s="10"/>
      <c r="AP71" s="5"/>
      <c r="AQ71" s="10"/>
      <c r="AR71" s="9"/>
      <c r="AS71" s="5"/>
    </row>
    <row r="72" spans="13:46" x14ac:dyDescent="0.2">
      <c r="M72" s="8"/>
      <c r="N72" s="14"/>
      <c r="O72" s="14"/>
      <c r="P72" s="8"/>
      <c r="Q72" s="8"/>
      <c r="R72" s="20"/>
      <c r="S72" s="20"/>
      <c r="T72" s="9"/>
      <c r="U72" s="9"/>
      <c r="V72" s="9"/>
      <c r="W72" s="9"/>
      <c r="X72" s="9"/>
      <c r="Y72" s="9"/>
      <c r="Z72" s="9"/>
      <c r="AA72" s="9"/>
      <c r="AB72" s="5"/>
      <c r="AC72" s="10"/>
      <c r="AD72" s="11"/>
      <c r="AE72" s="13"/>
      <c r="AF72" s="5"/>
      <c r="AG72" s="5"/>
      <c r="AH72" s="5"/>
      <c r="AI72" s="5"/>
      <c r="AJ72" s="5"/>
      <c r="AK72" s="11"/>
      <c r="AL72" s="5"/>
      <c r="AM72" s="5"/>
      <c r="AN72" s="11"/>
      <c r="AO72" s="10"/>
      <c r="AP72" s="5"/>
      <c r="AQ72" s="10"/>
      <c r="AR72" s="9"/>
      <c r="AS72" s="5"/>
    </row>
    <row r="73" spans="13:46" x14ac:dyDescent="0.2">
      <c r="M73" s="8"/>
      <c r="N73" s="14"/>
      <c r="O73" s="14"/>
      <c r="P73" s="8"/>
      <c r="Q73" s="8"/>
      <c r="R73" s="20"/>
      <c r="S73" s="20"/>
      <c r="T73" s="9"/>
      <c r="U73" s="9"/>
      <c r="V73" s="9"/>
      <c r="W73" s="9"/>
      <c r="X73" s="9"/>
      <c r="Y73" s="9"/>
      <c r="Z73" s="9"/>
      <c r="AA73" s="9"/>
      <c r="AB73" s="5"/>
      <c r="AC73" s="10"/>
      <c r="AD73" s="11"/>
      <c r="AE73" s="13"/>
      <c r="AF73" s="5"/>
      <c r="AG73" s="5"/>
      <c r="AH73" s="5"/>
      <c r="AI73" s="5"/>
      <c r="AJ73" s="5"/>
      <c r="AK73" s="11"/>
      <c r="AL73" s="5"/>
      <c r="AM73" s="5"/>
      <c r="AN73" s="11"/>
      <c r="AO73" s="10"/>
      <c r="AP73" s="5"/>
      <c r="AQ73" s="10"/>
      <c r="AR73" s="9"/>
      <c r="AS73" s="5"/>
    </row>
    <row r="74" spans="13:46" x14ac:dyDescent="0.2">
      <c r="M74" s="8"/>
      <c r="N74" s="14"/>
      <c r="O74" s="14"/>
      <c r="P74" s="8"/>
      <c r="Q74" s="8"/>
      <c r="R74" s="20"/>
      <c r="S74" s="20"/>
      <c r="T74" s="9"/>
      <c r="U74" s="9"/>
      <c r="V74" s="9"/>
      <c r="W74" s="9"/>
      <c r="X74" s="9"/>
      <c r="Y74" s="9"/>
      <c r="Z74" s="9"/>
      <c r="AA74" s="9"/>
      <c r="AB74" s="5"/>
      <c r="AC74" s="10"/>
      <c r="AD74" s="11"/>
      <c r="AE74" s="13"/>
      <c r="AF74" s="5"/>
      <c r="AG74" s="5"/>
      <c r="AH74" s="5"/>
      <c r="AI74" s="5"/>
      <c r="AJ74" s="5"/>
      <c r="AK74" s="11"/>
      <c r="AL74" s="5"/>
      <c r="AM74" s="5"/>
      <c r="AN74" s="11"/>
      <c r="AO74" s="10"/>
      <c r="AP74" s="5"/>
      <c r="AQ74" s="10"/>
      <c r="AR74" s="9"/>
      <c r="AS74" s="5"/>
    </row>
    <row r="75" spans="13:46" x14ac:dyDescent="0.2">
      <c r="M75" s="8"/>
      <c r="N75" s="14"/>
      <c r="O75" s="14"/>
      <c r="P75" s="8"/>
      <c r="Q75" s="8"/>
      <c r="R75" s="20"/>
      <c r="S75" s="20"/>
      <c r="T75" s="9"/>
      <c r="U75" s="9"/>
      <c r="V75" s="9"/>
      <c r="W75" s="9"/>
      <c r="X75" s="9"/>
      <c r="Y75" s="9"/>
      <c r="Z75" s="9"/>
      <c r="AA75" s="9"/>
      <c r="AB75" s="5"/>
      <c r="AC75" s="10"/>
      <c r="AD75" s="11"/>
      <c r="AE75" s="13"/>
      <c r="AF75" s="5"/>
      <c r="AG75" s="5"/>
      <c r="AH75" s="5"/>
      <c r="AI75" s="5"/>
      <c r="AJ75" s="5"/>
      <c r="AK75" s="11"/>
      <c r="AL75" s="5"/>
      <c r="AM75" s="5"/>
      <c r="AN75" s="11"/>
      <c r="AO75" s="10"/>
      <c r="AP75" s="5"/>
      <c r="AQ75" s="10"/>
      <c r="AR75" s="9"/>
      <c r="AS75" s="5"/>
    </row>
    <row r="76" spans="13:46" x14ac:dyDescent="0.2">
      <c r="M76" s="8"/>
      <c r="N76" s="14"/>
      <c r="O76" s="14"/>
      <c r="P76" s="8"/>
      <c r="Q76" s="8"/>
      <c r="R76" s="20"/>
      <c r="S76" s="20"/>
      <c r="T76" s="9"/>
      <c r="U76" s="9"/>
      <c r="V76" s="9"/>
      <c r="W76" s="9"/>
      <c r="X76" s="9"/>
      <c r="Y76" s="9"/>
      <c r="Z76" s="9"/>
      <c r="AA76" s="9"/>
      <c r="AB76" s="5"/>
      <c r="AC76" s="10"/>
      <c r="AD76" s="11"/>
      <c r="AE76" s="13"/>
      <c r="AF76" s="5"/>
      <c r="AG76" s="5"/>
      <c r="AH76" s="5"/>
      <c r="AI76" s="5"/>
      <c r="AJ76" s="5"/>
      <c r="AK76" s="11"/>
      <c r="AL76" s="5"/>
      <c r="AM76" s="5"/>
      <c r="AN76" s="11"/>
      <c r="AO76" s="10"/>
      <c r="AP76" s="5"/>
      <c r="AQ76" s="10"/>
      <c r="AR76" s="9"/>
      <c r="AS76" s="5"/>
    </row>
    <row r="77" spans="13:46" x14ac:dyDescent="0.2">
      <c r="M77" s="8"/>
      <c r="N77" s="14"/>
      <c r="O77" s="14"/>
      <c r="P77" s="8"/>
      <c r="Q77" s="8"/>
      <c r="R77" s="20"/>
      <c r="S77" s="20"/>
      <c r="T77" s="9"/>
      <c r="U77" s="9"/>
      <c r="V77" s="9"/>
      <c r="W77" s="9"/>
      <c r="X77" s="9"/>
      <c r="Y77" s="9"/>
      <c r="Z77" s="9"/>
      <c r="AA77" s="9"/>
      <c r="AB77" s="5"/>
      <c r="AC77" s="10"/>
      <c r="AD77" s="11"/>
      <c r="AE77" s="13"/>
      <c r="AF77" s="5"/>
      <c r="AG77" s="5"/>
      <c r="AH77" s="5"/>
      <c r="AI77" s="5"/>
      <c r="AJ77" s="5"/>
      <c r="AK77" s="11"/>
      <c r="AL77" s="5"/>
      <c r="AM77" s="5"/>
      <c r="AN77" s="11"/>
      <c r="AO77" s="10"/>
      <c r="AP77" s="5"/>
      <c r="AQ77" s="10"/>
      <c r="AR77" s="9"/>
      <c r="AS77" s="5"/>
      <c r="AT77" s="11"/>
    </row>
    <row r="78" spans="13:46" x14ac:dyDescent="0.2">
      <c r="M78" s="8"/>
      <c r="N78" s="14"/>
      <c r="O78" s="14"/>
      <c r="P78" s="8"/>
      <c r="Q78" s="8"/>
      <c r="R78" s="20"/>
      <c r="S78" s="20"/>
      <c r="T78" s="9"/>
      <c r="U78" s="9"/>
      <c r="V78" s="9"/>
      <c r="W78" s="9"/>
      <c r="X78" s="9"/>
      <c r="Y78" s="9"/>
      <c r="Z78" s="9"/>
      <c r="AA78" s="9"/>
      <c r="AB78" s="5"/>
      <c r="AC78" s="10"/>
      <c r="AD78" s="11"/>
      <c r="AE78" s="13"/>
      <c r="AF78" s="5"/>
      <c r="AG78" s="5"/>
      <c r="AH78" s="5"/>
      <c r="AI78" s="5"/>
      <c r="AJ78" s="5"/>
      <c r="AK78" s="11"/>
      <c r="AL78" s="5"/>
      <c r="AM78" s="5"/>
      <c r="AN78" s="11"/>
      <c r="AO78" s="10"/>
      <c r="AP78" s="5"/>
      <c r="AQ78" s="10"/>
      <c r="AR78" s="9"/>
      <c r="AS78" s="5"/>
      <c r="AT78" s="11"/>
    </row>
    <row r="79" spans="13:46" x14ac:dyDescent="0.2">
      <c r="M79" s="8"/>
      <c r="N79" s="14"/>
      <c r="O79" s="14"/>
      <c r="P79" s="8"/>
      <c r="Q79" s="8"/>
      <c r="R79" s="20"/>
      <c r="S79" s="20"/>
      <c r="T79" s="9"/>
      <c r="U79" s="9"/>
      <c r="V79" s="9"/>
      <c r="W79" s="9"/>
      <c r="X79" s="9"/>
      <c r="Y79" s="9"/>
      <c r="Z79" s="9"/>
      <c r="AA79" s="9"/>
      <c r="AB79" s="5"/>
      <c r="AC79" s="10"/>
      <c r="AD79" s="11"/>
      <c r="AE79" s="13"/>
      <c r="AF79" s="5"/>
      <c r="AG79" s="5"/>
      <c r="AH79" s="5"/>
      <c r="AI79" s="5"/>
      <c r="AJ79" s="5"/>
      <c r="AK79" s="11"/>
      <c r="AL79" s="5"/>
      <c r="AM79" s="5"/>
      <c r="AN79" s="11"/>
      <c r="AO79" s="10"/>
      <c r="AP79" s="5"/>
      <c r="AQ79" s="10"/>
      <c r="AR79" s="9"/>
      <c r="AS79" s="5"/>
      <c r="AT79" s="11"/>
    </row>
    <row r="80" spans="13:46" x14ac:dyDescent="0.2">
      <c r="M80" s="8"/>
      <c r="N80" s="14"/>
      <c r="O80" s="14"/>
      <c r="P80" s="8"/>
      <c r="Q80" s="8"/>
      <c r="R80" s="20"/>
      <c r="S80" s="20"/>
      <c r="T80" s="9"/>
      <c r="U80" s="9"/>
      <c r="V80" s="9"/>
      <c r="W80" s="9"/>
      <c r="X80" s="9"/>
      <c r="Y80" s="9"/>
      <c r="Z80" s="9"/>
      <c r="AA80" s="9"/>
      <c r="AB80" s="5"/>
      <c r="AC80" s="10"/>
      <c r="AD80" s="11"/>
      <c r="AE80" s="13"/>
      <c r="AF80" s="5"/>
      <c r="AG80" s="5"/>
      <c r="AH80" s="5"/>
      <c r="AI80" s="5"/>
      <c r="AJ80" s="5"/>
      <c r="AK80" s="11"/>
      <c r="AL80" s="5"/>
      <c r="AM80" s="5"/>
      <c r="AN80" s="11"/>
      <c r="AO80" s="10"/>
      <c r="AP80" s="5"/>
      <c r="AQ80" s="10"/>
      <c r="AR80" s="9"/>
      <c r="AS80" s="5"/>
      <c r="AT80" s="11"/>
    </row>
    <row r="81" spans="13:46" x14ac:dyDescent="0.2">
      <c r="M81" s="8"/>
      <c r="N81" s="14"/>
      <c r="O81" s="14"/>
      <c r="P81" s="8"/>
      <c r="Q81" s="8"/>
      <c r="R81" s="20"/>
      <c r="S81" s="20"/>
      <c r="T81" s="9"/>
      <c r="U81" s="9"/>
      <c r="V81" s="9"/>
      <c r="W81" s="9"/>
      <c r="X81" s="9"/>
      <c r="Y81" s="9"/>
      <c r="Z81" s="9"/>
      <c r="AA81" s="9"/>
      <c r="AB81" s="5"/>
      <c r="AC81" s="10"/>
      <c r="AD81" s="11"/>
      <c r="AE81" s="13"/>
      <c r="AF81" s="5"/>
      <c r="AG81" s="5"/>
      <c r="AH81" s="5"/>
      <c r="AI81" s="5"/>
      <c r="AJ81" s="5"/>
      <c r="AK81" s="11"/>
      <c r="AL81" s="5"/>
      <c r="AM81" s="5"/>
      <c r="AN81" s="11"/>
      <c r="AO81" s="10"/>
      <c r="AP81" s="5"/>
      <c r="AQ81" s="10"/>
      <c r="AR81" s="9"/>
      <c r="AS81" s="5"/>
      <c r="AT81" s="11"/>
    </row>
    <row r="82" spans="13:46" x14ac:dyDescent="0.2">
      <c r="M82" s="8"/>
      <c r="N82" s="14"/>
      <c r="O82" s="14"/>
      <c r="P82" s="8"/>
      <c r="Q82" s="8"/>
      <c r="R82" s="20"/>
      <c r="S82" s="20"/>
      <c r="T82" s="9"/>
      <c r="U82" s="9"/>
      <c r="V82" s="9"/>
      <c r="W82" s="9"/>
      <c r="X82" s="9"/>
      <c r="Y82" s="9"/>
      <c r="Z82" s="9"/>
      <c r="AA82" s="9"/>
      <c r="AB82" s="5"/>
      <c r="AC82" s="10"/>
      <c r="AD82" s="11"/>
      <c r="AE82" s="13"/>
      <c r="AF82" s="5"/>
      <c r="AG82" s="5"/>
      <c r="AH82" s="5"/>
      <c r="AI82" s="5"/>
      <c r="AJ82" s="5"/>
      <c r="AK82" s="11"/>
      <c r="AL82" s="5"/>
      <c r="AM82" s="5"/>
      <c r="AN82" s="11"/>
      <c r="AO82" s="10"/>
      <c r="AP82" s="5"/>
      <c r="AQ82" s="10"/>
      <c r="AR82" s="9"/>
      <c r="AS82" s="5"/>
      <c r="AT82" s="11"/>
    </row>
    <row r="83" spans="13:46" x14ac:dyDescent="0.2">
      <c r="M83" s="8"/>
      <c r="N83" s="14"/>
      <c r="O83" s="14"/>
      <c r="P83" s="8"/>
      <c r="Q83" s="8"/>
      <c r="R83" s="20"/>
      <c r="S83" s="20"/>
      <c r="T83" s="9"/>
      <c r="U83" s="9"/>
      <c r="V83" s="9"/>
      <c r="W83" s="9"/>
      <c r="X83" s="9"/>
      <c r="Y83" s="9"/>
      <c r="Z83" s="9"/>
      <c r="AA83" s="9"/>
      <c r="AB83" s="5"/>
      <c r="AC83" s="10"/>
      <c r="AD83" s="11"/>
      <c r="AE83" s="13"/>
      <c r="AF83" s="5"/>
      <c r="AG83" s="5"/>
      <c r="AH83" s="5"/>
      <c r="AI83" s="5"/>
      <c r="AJ83" s="5"/>
      <c r="AK83" s="11"/>
      <c r="AL83" s="5"/>
      <c r="AM83" s="5"/>
      <c r="AN83" s="11"/>
      <c r="AO83" s="10"/>
      <c r="AP83" s="5"/>
      <c r="AQ83" s="10"/>
      <c r="AR83" s="9"/>
      <c r="AS83" s="5"/>
      <c r="AT83" s="11"/>
    </row>
    <row r="84" spans="13:46" x14ac:dyDescent="0.2">
      <c r="M84" s="8"/>
      <c r="N84" s="14"/>
      <c r="O84" s="14"/>
      <c r="P84" s="8"/>
      <c r="Q84" s="8"/>
      <c r="R84" s="20"/>
      <c r="S84" s="20"/>
      <c r="T84" s="9"/>
      <c r="U84" s="9"/>
      <c r="V84" s="9"/>
      <c r="W84" s="9"/>
      <c r="X84" s="9"/>
      <c r="Y84" s="9"/>
      <c r="Z84" s="9"/>
      <c r="AA84" s="9"/>
      <c r="AB84" s="5"/>
      <c r="AC84" s="10"/>
      <c r="AD84" s="11"/>
      <c r="AE84" s="13"/>
      <c r="AF84" s="5"/>
      <c r="AG84" s="5"/>
      <c r="AH84" s="5"/>
      <c r="AI84" s="5"/>
      <c r="AJ84" s="5"/>
      <c r="AK84" s="11"/>
      <c r="AL84" s="5"/>
      <c r="AM84" s="5"/>
      <c r="AN84" s="11"/>
      <c r="AO84" s="10"/>
      <c r="AP84" s="5"/>
      <c r="AQ84" s="10"/>
      <c r="AR84" s="9"/>
      <c r="AS84" s="5"/>
      <c r="AT84" s="11"/>
    </row>
    <row r="85" spans="13:46" x14ac:dyDescent="0.2">
      <c r="M85" s="8"/>
      <c r="N85" s="14"/>
      <c r="O85" s="14"/>
      <c r="P85" s="8"/>
      <c r="Q85" s="8"/>
      <c r="R85" s="20"/>
      <c r="S85" s="20"/>
      <c r="T85" s="9"/>
      <c r="U85" s="9"/>
      <c r="V85" s="9"/>
      <c r="W85" s="9"/>
      <c r="X85" s="9"/>
      <c r="Y85" s="9"/>
      <c r="Z85" s="9"/>
      <c r="AA85" s="9"/>
      <c r="AB85" s="5"/>
      <c r="AC85" s="10"/>
      <c r="AD85" s="11"/>
      <c r="AE85" s="13"/>
      <c r="AF85" s="5"/>
      <c r="AG85" s="5"/>
      <c r="AH85" s="5"/>
      <c r="AI85" s="5"/>
      <c r="AJ85" s="5"/>
      <c r="AK85" s="11"/>
      <c r="AL85" s="5"/>
      <c r="AM85" s="5"/>
      <c r="AN85" s="11"/>
      <c r="AO85" s="10"/>
      <c r="AP85" s="5"/>
      <c r="AQ85" s="10"/>
      <c r="AR85" s="9"/>
      <c r="AS85" s="5"/>
      <c r="AT85" s="11"/>
    </row>
    <row r="86" spans="13:46" x14ac:dyDescent="0.2">
      <c r="M86" s="8"/>
      <c r="N86" s="14"/>
      <c r="O86" s="14"/>
      <c r="P86" s="8"/>
      <c r="Q86" s="8"/>
      <c r="R86" s="20"/>
      <c r="S86" s="20"/>
      <c r="T86" s="9"/>
      <c r="U86" s="9"/>
      <c r="V86" s="9"/>
      <c r="W86" s="9"/>
      <c r="X86" s="9"/>
      <c r="Y86" s="9"/>
      <c r="Z86" s="9"/>
      <c r="AA86" s="9"/>
      <c r="AB86" s="5"/>
      <c r="AC86" s="10"/>
      <c r="AD86" s="11"/>
      <c r="AE86" s="13"/>
      <c r="AF86" s="5"/>
      <c r="AG86" s="5"/>
      <c r="AH86" s="5"/>
      <c r="AI86" s="5"/>
      <c r="AJ86" s="5"/>
      <c r="AK86" s="11"/>
      <c r="AL86" s="5"/>
      <c r="AM86" s="5"/>
      <c r="AN86" s="11"/>
      <c r="AO86" s="10"/>
      <c r="AP86" s="5"/>
      <c r="AQ86" s="10"/>
      <c r="AR86" s="9"/>
      <c r="AS86" s="5"/>
      <c r="AT86" s="11"/>
    </row>
    <row r="87" spans="13:46" x14ac:dyDescent="0.2">
      <c r="M87" s="8"/>
      <c r="N87" s="14"/>
      <c r="O87" s="14"/>
      <c r="P87" s="8"/>
      <c r="Q87" s="8"/>
      <c r="R87" s="20"/>
      <c r="S87" s="20"/>
      <c r="T87" s="9"/>
      <c r="U87" s="9"/>
      <c r="V87" s="9"/>
      <c r="W87" s="9"/>
      <c r="X87" s="9"/>
      <c r="Y87" s="9"/>
      <c r="Z87" s="9"/>
      <c r="AA87" s="9"/>
      <c r="AB87" s="5"/>
      <c r="AC87" s="10"/>
      <c r="AD87" s="11"/>
      <c r="AE87" s="13"/>
      <c r="AF87" s="5"/>
      <c r="AG87" s="5"/>
      <c r="AH87" s="5"/>
      <c r="AI87" s="5"/>
      <c r="AJ87" s="5"/>
      <c r="AK87" s="11"/>
      <c r="AL87" s="5"/>
      <c r="AM87" s="5"/>
      <c r="AN87" s="11"/>
      <c r="AO87" s="10"/>
      <c r="AP87" s="5"/>
      <c r="AQ87" s="10"/>
      <c r="AR87" s="9"/>
      <c r="AS87" s="5"/>
      <c r="AT87" s="11"/>
    </row>
    <row r="88" spans="13:46" x14ac:dyDescent="0.2">
      <c r="M88" s="8"/>
      <c r="N88" s="14"/>
      <c r="O88" s="14"/>
      <c r="P88" s="8"/>
      <c r="Q88" s="8"/>
      <c r="R88" s="20"/>
      <c r="S88" s="20"/>
      <c r="T88" s="9"/>
      <c r="U88" s="9"/>
      <c r="V88" s="9"/>
      <c r="W88" s="9"/>
      <c r="X88" s="9"/>
      <c r="Y88" s="9"/>
      <c r="Z88" s="9"/>
      <c r="AA88" s="9"/>
      <c r="AB88" s="5"/>
      <c r="AC88" s="10"/>
      <c r="AD88" s="11"/>
      <c r="AE88" s="13"/>
      <c r="AF88" s="5"/>
      <c r="AG88" s="5"/>
      <c r="AH88" s="5"/>
      <c r="AI88" s="5"/>
      <c r="AJ88" s="5"/>
      <c r="AK88" s="11"/>
      <c r="AL88" s="5"/>
      <c r="AM88" s="5"/>
      <c r="AN88" s="11"/>
      <c r="AO88" s="10"/>
      <c r="AP88" s="5"/>
      <c r="AQ88" s="10"/>
      <c r="AR88" s="9"/>
      <c r="AS88" s="5"/>
      <c r="AT88" s="11"/>
    </row>
    <row r="89" spans="13:46" x14ac:dyDescent="0.2">
      <c r="M89" s="8"/>
      <c r="N89" s="14"/>
      <c r="O89" s="14"/>
      <c r="P89" s="8"/>
      <c r="Q89" s="8"/>
      <c r="R89" s="20"/>
      <c r="S89" s="20"/>
      <c r="T89" s="9"/>
      <c r="U89" s="9"/>
      <c r="V89" s="9"/>
      <c r="W89" s="9"/>
      <c r="X89" s="9"/>
      <c r="Y89" s="9"/>
      <c r="Z89" s="9"/>
      <c r="AA89" s="9"/>
      <c r="AB89" s="5"/>
      <c r="AC89" s="10"/>
      <c r="AD89" s="11"/>
      <c r="AE89" s="13"/>
      <c r="AF89" s="5"/>
      <c r="AG89" s="5"/>
      <c r="AH89" s="5"/>
      <c r="AI89" s="5"/>
      <c r="AJ89" s="5"/>
      <c r="AK89" s="11"/>
      <c r="AL89" s="5"/>
      <c r="AM89" s="5"/>
      <c r="AN89" s="11"/>
      <c r="AO89" s="10"/>
      <c r="AP89" s="5"/>
      <c r="AQ89" s="10"/>
      <c r="AR89" s="9"/>
      <c r="AS89" s="5"/>
      <c r="AT89" s="11"/>
    </row>
    <row r="90" spans="13:46" x14ac:dyDescent="0.2">
      <c r="M90" s="8"/>
      <c r="N90" s="14"/>
      <c r="O90" s="14"/>
      <c r="P90" s="8"/>
      <c r="Q90" s="8"/>
      <c r="R90" s="20"/>
      <c r="S90" s="20"/>
      <c r="T90" s="9"/>
      <c r="U90" s="9"/>
      <c r="V90" s="9"/>
      <c r="W90" s="9"/>
      <c r="X90" s="9"/>
      <c r="Y90" s="9"/>
      <c r="Z90" s="9"/>
      <c r="AA90" s="9"/>
      <c r="AB90" s="5"/>
      <c r="AC90" s="10"/>
      <c r="AD90" s="11"/>
      <c r="AE90" s="13"/>
      <c r="AF90" s="5"/>
      <c r="AG90" s="5"/>
      <c r="AH90" s="5"/>
      <c r="AI90" s="5"/>
      <c r="AJ90" s="5"/>
      <c r="AK90" s="11"/>
      <c r="AL90" s="5"/>
      <c r="AM90" s="5"/>
      <c r="AN90" s="11"/>
      <c r="AO90" s="10"/>
      <c r="AP90" s="5"/>
      <c r="AQ90" s="10"/>
      <c r="AR90" s="9"/>
      <c r="AS90" s="5"/>
      <c r="AT90" s="11"/>
    </row>
    <row r="91" spans="13:46" x14ac:dyDescent="0.2">
      <c r="M91" s="8"/>
      <c r="N91" s="14"/>
      <c r="O91" s="14"/>
      <c r="P91" s="8"/>
      <c r="Q91" s="8"/>
      <c r="R91" s="20"/>
      <c r="S91" s="20"/>
      <c r="T91" s="9"/>
      <c r="U91" s="9"/>
      <c r="V91" s="9"/>
      <c r="W91" s="9"/>
      <c r="X91" s="9"/>
      <c r="Y91" s="9"/>
      <c r="Z91" s="9"/>
      <c r="AA91" s="9"/>
      <c r="AB91" s="5"/>
      <c r="AC91" s="10"/>
      <c r="AD91" s="11"/>
      <c r="AE91" s="13"/>
      <c r="AF91" s="5"/>
      <c r="AG91" s="5"/>
      <c r="AH91" s="5"/>
      <c r="AI91" s="5"/>
      <c r="AJ91" s="5"/>
      <c r="AK91" s="11"/>
      <c r="AL91" s="5"/>
      <c r="AM91" s="5"/>
      <c r="AN91" s="11"/>
      <c r="AO91" s="10"/>
      <c r="AP91" s="5"/>
      <c r="AQ91" s="10"/>
      <c r="AR91" s="9"/>
      <c r="AS91" s="5"/>
      <c r="AT91" s="11"/>
    </row>
    <row r="92" spans="13:46" x14ac:dyDescent="0.2">
      <c r="M92" s="8"/>
      <c r="N92" s="14"/>
      <c r="O92" s="14"/>
      <c r="P92" s="8"/>
      <c r="Q92" s="8"/>
      <c r="R92" s="20"/>
      <c r="S92" s="20"/>
      <c r="T92" s="9"/>
      <c r="U92" s="9"/>
      <c r="V92" s="9"/>
      <c r="W92" s="9"/>
      <c r="X92" s="9"/>
      <c r="Y92" s="9"/>
      <c r="Z92" s="9"/>
      <c r="AA92" s="9"/>
      <c r="AB92" s="5"/>
      <c r="AC92" s="10"/>
      <c r="AD92" s="11"/>
      <c r="AE92" s="13"/>
      <c r="AF92" s="5"/>
      <c r="AG92" s="5"/>
      <c r="AH92" s="5"/>
      <c r="AI92" s="5"/>
      <c r="AJ92" s="5"/>
      <c r="AK92" s="11"/>
      <c r="AL92" s="5"/>
      <c r="AM92" s="5"/>
      <c r="AN92" s="11"/>
      <c r="AO92" s="10"/>
      <c r="AP92" s="5"/>
      <c r="AQ92" s="10"/>
      <c r="AR92" s="9"/>
      <c r="AS92" s="5"/>
      <c r="AT92" s="11"/>
    </row>
    <row r="93" spans="13:46" x14ac:dyDescent="0.2">
      <c r="M93" s="8"/>
      <c r="N93" s="14"/>
      <c r="O93" s="14"/>
      <c r="P93" s="8"/>
      <c r="Q93" s="8"/>
      <c r="R93" s="20"/>
      <c r="S93" s="20"/>
      <c r="T93" s="9"/>
      <c r="U93" s="9"/>
      <c r="V93" s="9"/>
      <c r="W93" s="9"/>
      <c r="X93" s="9"/>
      <c r="Y93" s="9"/>
      <c r="Z93" s="9"/>
      <c r="AA93" s="9"/>
      <c r="AB93" s="5"/>
      <c r="AC93" s="10"/>
      <c r="AD93" s="11"/>
      <c r="AE93" s="13"/>
      <c r="AF93" s="5"/>
      <c r="AG93" s="5"/>
      <c r="AH93" s="5"/>
      <c r="AI93" s="5"/>
      <c r="AJ93" s="5"/>
      <c r="AK93" s="11"/>
      <c r="AL93" s="5"/>
      <c r="AM93" s="5"/>
      <c r="AN93" s="11"/>
      <c r="AO93" s="10"/>
      <c r="AP93" s="5"/>
      <c r="AQ93" s="10"/>
      <c r="AR93" s="9"/>
      <c r="AS93" s="5"/>
      <c r="AT93" s="11"/>
    </row>
    <row r="94" spans="13:46" x14ac:dyDescent="0.2">
      <c r="M94" s="8"/>
      <c r="N94" s="14"/>
      <c r="O94" s="14"/>
      <c r="P94" s="8"/>
      <c r="Q94" s="8"/>
      <c r="R94" s="20"/>
      <c r="S94" s="20"/>
      <c r="T94" s="9"/>
      <c r="U94" s="9"/>
      <c r="V94" s="9"/>
      <c r="W94" s="9"/>
      <c r="X94" s="9"/>
      <c r="Y94" s="9"/>
      <c r="Z94" s="9"/>
      <c r="AA94" s="9"/>
      <c r="AB94" s="5"/>
      <c r="AC94" s="10"/>
      <c r="AD94" s="11"/>
      <c r="AE94" s="13"/>
      <c r="AF94" s="5"/>
      <c r="AG94" s="5"/>
      <c r="AH94" s="5"/>
      <c r="AI94" s="5"/>
      <c r="AJ94" s="5"/>
      <c r="AK94" s="11"/>
      <c r="AL94" s="5"/>
      <c r="AM94" s="5"/>
      <c r="AN94" s="11"/>
      <c r="AO94" s="10"/>
      <c r="AP94" s="5"/>
      <c r="AQ94" s="10"/>
      <c r="AR94" s="9"/>
      <c r="AS94" s="5"/>
      <c r="AT94" s="11"/>
    </row>
    <row r="95" spans="13:46" x14ac:dyDescent="0.2">
      <c r="M95" s="8"/>
      <c r="N95" s="14"/>
      <c r="O95" s="14"/>
      <c r="P95" s="8"/>
      <c r="Q95" s="8"/>
      <c r="R95" s="20"/>
      <c r="S95" s="20"/>
      <c r="T95" s="9"/>
      <c r="U95" s="9"/>
      <c r="V95" s="9"/>
      <c r="W95" s="9"/>
      <c r="X95" s="9"/>
      <c r="Y95" s="9"/>
      <c r="Z95" s="9"/>
      <c r="AA95" s="9"/>
      <c r="AB95" s="5"/>
      <c r="AC95" s="10"/>
      <c r="AD95" s="11"/>
      <c r="AE95" s="13"/>
      <c r="AF95" s="5"/>
      <c r="AG95" s="5"/>
      <c r="AH95" s="5"/>
      <c r="AI95" s="5"/>
      <c r="AJ95" s="5"/>
      <c r="AK95" s="11"/>
      <c r="AL95" s="5"/>
      <c r="AM95" s="5"/>
      <c r="AN95" s="11"/>
      <c r="AO95" s="10"/>
    </row>
    <row r="96" spans="13:46" x14ac:dyDescent="0.2">
      <c r="M96" s="8"/>
      <c r="N96" s="14"/>
      <c r="O96" s="14"/>
      <c r="P96" s="18"/>
      <c r="Q96" s="18"/>
      <c r="R96" s="20"/>
      <c r="S96" s="20"/>
      <c r="T96" s="9"/>
      <c r="U96" s="9"/>
      <c r="V96" s="9"/>
      <c r="W96" s="9"/>
      <c r="X96" s="9"/>
      <c r="Y96" s="9"/>
      <c r="Z96" s="9"/>
      <c r="AA96" s="9"/>
      <c r="AB96" s="5"/>
      <c r="AC96" s="10"/>
      <c r="AD96" s="11"/>
      <c r="AE96" s="13"/>
      <c r="AF96" s="5"/>
      <c r="AG96" s="5"/>
      <c r="AH96" s="5"/>
      <c r="AI96" s="5"/>
      <c r="AJ96" s="5"/>
      <c r="AK96" s="11"/>
      <c r="AL96" s="5"/>
      <c r="AM96" s="5"/>
      <c r="AN96" s="11"/>
      <c r="AO96" s="10"/>
    </row>
    <row r="97" spans="13:41" x14ac:dyDescent="0.2">
      <c r="M97" s="8"/>
      <c r="N97" s="14"/>
      <c r="O97" s="14"/>
      <c r="P97" s="18"/>
      <c r="Q97" s="18"/>
      <c r="R97" s="20"/>
      <c r="S97" s="20"/>
      <c r="T97" s="9"/>
      <c r="U97" s="9"/>
      <c r="V97" s="9"/>
      <c r="W97" s="9"/>
      <c r="X97" s="9"/>
      <c r="Y97" s="9"/>
      <c r="Z97" s="9"/>
      <c r="AA97" s="9"/>
      <c r="AB97" s="5"/>
      <c r="AC97" s="10"/>
      <c r="AD97" s="11"/>
      <c r="AE97" s="13"/>
      <c r="AF97" s="5"/>
      <c r="AG97" s="5"/>
      <c r="AH97" s="5"/>
      <c r="AI97" s="5"/>
      <c r="AJ97" s="5"/>
      <c r="AK97" s="11"/>
      <c r="AL97" s="5"/>
      <c r="AM97" s="5"/>
      <c r="AN97" s="11"/>
      <c r="AO97" s="10"/>
    </row>
    <row r="98" spans="13:41" x14ac:dyDescent="0.2">
      <c r="M98" s="8"/>
      <c r="N98" s="14"/>
      <c r="O98" s="14"/>
      <c r="P98" s="8"/>
      <c r="Q98" s="8"/>
      <c r="R98" s="20"/>
      <c r="S98" s="20"/>
      <c r="T98" s="9"/>
      <c r="U98" s="9"/>
      <c r="V98" s="9"/>
      <c r="W98" s="9"/>
      <c r="X98" s="9"/>
      <c r="Y98" s="9"/>
      <c r="Z98" s="9"/>
      <c r="AA98" s="9"/>
      <c r="AB98" s="5"/>
      <c r="AC98" s="10"/>
      <c r="AD98" s="11"/>
      <c r="AE98" s="13"/>
      <c r="AF98" s="5"/>
      <c r="AG98" s="5"/>
      <c r="AH98" s="5"/>
      <c r="AI98" s="5"/>
      <c r="AJ98" s="5"/>
      <c r="AK98" s="11"/>
      <c r="AL98" s="5"/>
      <c r="AM98" s="5"/>
      <c r="AN98" s="11"/>
      <c r="AO98" s="10"/>
    </row>
    <row r="99" spans="13:41" x14ac:dyDescent="0.2">
      <c r="M99" s="8"/>
      <c r="N99" s="14"/>
      <c r="O99" s="14"/>
      <c r="P99" s="8"/>
      <c r="Q99" s="8"/>
      <c r="R99" s="20"/>
      <c r="S99" s="20"/>
      <c r="T99" s="9"/>
      <c r="U99" s="9"/>
      <c r="V99" s="9"/>
      <c r="W99" s="9"/>
      <c r="X99" s="9"/>
      <c r="Y99" s="9"/>
      <c r="Z99" s="9"/>
      <c r="AA99" s="9"/>
      <c r="AB99" s="5"/>
      <c r="AC99" s="10"/>
      <c r="AD99" s="11"/>
      <c r="AE99" s="13"/>
      <c r="AF99" s="5"/>
      <c r="AG99" s="5"/>
      <c r="AH99" s="5"/>
      <c r="AI99" s="5"/>
      <c r="AJ99" s="5"/>
      <c r="AK99" s="11"/>
      <c r="AL99" s="5"/>
      <c r="AM99" s="5"/>
      <c r="AN99" s="11"/>
      <c r="AO99" s="10"/>
    </row>
    <row r="100" spans="13:41" x14ac:dyDescent="0.2">
      <c r="M100" s="8"/>
      <c r="N100" s="14"/>
      <c r="O100" s="14"/>
      <c r="P100" s="8"/>
      <c r="Q100" s="8"/>
      <c r="R100" s="20"/>
      <c r="S100" s="20"/>
      <c r="T100" s="9"/>
      <c r="U100" s="9"/>
      <c r="V100" s="9"/>
      <c r="W100" s="9"/>
      <c r="X100" s="9"/>
      <c r="Y100" s="9"/>
      <c r="Z100" s="9"/>
      <c r="AA100" s="9"/>
      <c r="AB100" s="5"/>
      <c r="AC100" s="10"/>
      <c r="AD100" s="11"/>
      <c r="AE100" s="13"/>
      <c r="AF100" s="5"/>
      <c r="AG100" s="5"/>
      <c r="AH100" s="5"/>
      <c r="AI100" s="5"/>
      <c r="AJ100" s="5"/>
      <c r="AK100" s="11"/>
      <c r="AL100" s="5"/>
      <c r="AM100" s="5"/>
      <c r="AN100" s="11"/>
      <c r="AO100" s="10"/>
    </row>
    <row r="101" spans="13:41" x14ac:dyDescent="0.2">
      <c r="M101" s="8"/>
      <c r="N101" s="14"/>
      <c r="O101" s="14"/>
      <c r="P101" s="9"/>
      <c r="Q101" s="9"/>
      <c r="R101" s="9"/>
      <c r="S101" s="5"/>
      <c r="T101" s="9"/>
      <c r="U101" s="9"/>
      <c r="V101" s="9"/>
      <c r="W101" s="9"/>
      <c r="X101" s="9"/>
      <c r="Y101" s="9"/>
      <c r="Z101" s="9"/>
      <c r="AA101" s="5"/>
      <c r="AB101" s="10"/>
      <c r="AC101" s="11"/>
      <c r="AD101" s="13"/>
      <c r="AE101" s="5"/>
      <c r="AF101" s="5"/>
      <c r="AG101" s="5"/>
      <c r="AH101" s="5"/>
      <c r="AI101" s="5"/>
      <c r="AJ101" s="11"/>
      <c r="AK101" s="8"/>
      <c r="AL101" s="8"/>
      <c r="AM101" s="8"/>
      <c r="AN101" s="8"/>
      <c r="AO101" s="10"/>
    </row>
    <row r="102" spans="13:41" x14ac:dyDescent="0.2">
      <c r="M102" s="8"/>
      <c r="N102" s="14"/>
      <c r="O102" s="14"/>
      <c r="P102" s="9"/>
      <c r="Q102" s="9"/>
      <c r="R102" s="9"/>
      <c r="S102" s="5"/>
      <c r="T102" s="9"/>
      <c r="U102" s="9"/>
      <c r="V102" s="9"/>
      <c r="W102" s="9"/>
      <c r="X102" s="9"/>
      <c r="Y102" s="9"/>
      <c r="Z102" s="9"/>
      <c r="AA102" s="5"/>
      <c r="AB102" s="10"/>
      <c r="AC102" s="11"/>
      <c r="AD102" s="13"/>
      <c r="AE102" s="5"/>
      <c r="AF102" s="5"/>
      <c r="AG102" s="5"/>
      <c r="AH102" s="5"/>
      <c r="AI102" s="5"/>
      <c r="AJ102" s="11"/>
      <c r="AK102" s="8"/>
      <c r="AL102" s="8"/>
      <c r="AM102" s="8"/>
      <c r="AN102" s="8"/>
      <c r="AO102" s="10"/>
    </row>
    <row r="103" spans="13:41" x14ac:dyDescent="0.2">
      <c r="M103" s="8"/>
      <c r="N103" s="14"/>
      <c r="O103" s="14"/>
      <c r="P103" s="9"/>
      <c r="Q103" s="9"/>
      <c r="R103" s="9"/>
      <c r="S103" s="5"/>
      <c r="T103" s="9"/>
      <c r="U103" s="9"/>
      <c r="V103" s="9"/>
      <c r="W103" s="9"/>
      <c r="X103" s="9"/>
      <c r="Y103" s="9"/>
      <c r="Z103" s="9"/>
      <c r="AA103" s="5"/>
      <c r="AB103" s="10"/>
      <c r="AC103" s="11"/>
      <c r="AD103" s="13"/>
      <c r="AE103" s="5"/>
      <c r="AF103" s="5"/>
      <c r="AG103" s="5"/>
      <c r="AH103" s="5"/>
      <c r="AI103" s="5"/>
      <c r="AJ103" s="11"/>
      <c r="AK103" s="8"/>
      <c r="AL103" s="8"/>
      <c r="AM103" s="8"/>
      <c r="AN103" s="8"/>
      <c r="AO103" s="10"/>
    </row>
    <row r="104" spans="13:41" x14ac:dyDescent="0.2">
      <c r="M104" s="8"/>
      <c r="N104" s="14"/>
      <c r="O104" s="14"/>
      <c r="P104" s="9"/>
      <c r="Q104" s="9"/>
      <c r="R104" s="9"/>
      <c r="S104" s="5"/>
      <c r="T104" s="9"/>
      <c r="U104" s="9"/>
      <c r="V104" s="9"/>
      <c r="W104" s="9"/>
      <c r="X104" s="9"/>
      <c r="Y104" s="9"/>
      <c r="Z104" s="9"/>
      <c r="AA104" s="5"/>
      <c r="AB104" s="10"/>
      <c r="AC104" s="11"/>
      <c r="AD104" s="13"/>
      <c r="AE104" s="5"/>
      <c r="AF104" s="5"/>
      <c r="AG104" s="5"/>
      <c r="AH104" s="5"/>
      <c r="AI104" s="5"/>
      <c r="AJ104" s="11"/>
      <c r="AK104" s="8"/>
      <c r="AL104" s="8"/>
      <c r="AM104" s="8"/>
      <c r="AN104" s="8"/>
      <c r="AO104" s="10"/>
    </row>
    <row r="105" spans="13:41" x14ac:dyDescent="0.2">
      <c r="M105" s="8"/>
      <c r="N105" s="14"/>
      <c r="O105" s="14"/>
      <c r="P105" s="9"/>
      <c r="Q105" s="9"/>
      <c r="R105" s="9"/>
      <c r="S105" s="5"/>
      <c r="T105" s="9"/>
      <c r="U105" s="9"/>
      <c r="V105" s="9"/>
      <c r="W105" s="9"/>
      <c r="X105" s="9"/>
      <c r="Y105" s="9"/>
      <c r="Z105" s="9"/>
      <c r="AA105" s="5"/>
      <c r="AB105" s="10"/>
      <c r="AC105" s="11"/>
      <c r="AD105" s="13"/>
      <c r="AE105" s="5"/>
      <c r="AF105" s="5"/>
      <c r="AG105" s="5"/>
      <c r="AH105" s="5"/>
      <c r="AI105" s="5"/>
      <c r="AJ105" s="11"/>
      <c r="AK105" s="8"/>
      <c r="AL105" s="8"/>
      <c r="AM105" s="8"/>
      <c r="AN105" s="8"/>
      <c r="AO105" s="10"/>
    </row>
    <row r="106" spans="13:41" x14ac:dyDescent="0.2">
      <c r="M106" s="8"/>
      <c r="N106" s="14"/>
      <c r="O106" s="14"/>
      <c r="P106" s="9"/>
      <c r="Q106" s="9"/>
      <c r="R106" s="9"/>
      <c r="S106" s="5"/>
      <c r="T106" s="9"/>
      <c r="U106" s="9"/>
      <c r="V106" s="9"/>
      <c r="W106" s="9"/>
      <c r="X106" s="9"/>
      <c r="Y106" s="9"/>
      <c r="Z106" s="9"/>
      <c r="AA106" s="5"/>
      <c r="AB106" s="10"/>
      <c r="AC106" s="11"/>
      <c r="AD106" s="13"/>
      <c r="AE106" s="5"/>
      <c r="AF106" s="5"/>
      <c r="AG106" s="5"/>
      <c r="AH106" s="5"/>
      <c r="AI106" s="5"/>
      <c r="AJ106" s="11"/>
      <c r="AK106" s="8"/>
      <c r="AL106" s="8"/>
      <c r="AM106" s="8"/>
      <c r="AN106" s="8"/>
      <c r="AO106" s="10"/>
    </row>
    <row r="107" spans="13:41" x14ac:dyDescent="0.2">
      <c r="M107" s="8"/>
      <c r="N107" s="14"/>
      <c r="O107" s="14"/>
      <c r="P107" s="9"/>
      <c r="Q107" s="9"/>
      <c r="R107" s="9"/>
      <c r="S107" s="5"/>
      <c r="T107" s="9"/>
      <c r="U107" s="9"/>
      <c r="V107" s="9"/>
      <c r="W107" s="9"/>
      <c r="X107" s="9"/>
      <c r="Y107" s="9"/>
      <c r="Z107" s="9"/>
      <c r="AA107" s="5"/>
      <c r="AB107" s="10"/>
      <c r="AC107" s="11"/>
      <c r="AD107" s="10"/>
      <c r="AE107" s="5"/>
      <c r="AF107" s="5"/>
      <c r="AG107" s="5"/>
      <c r="AH107" s="5"/>
      <c r="AI107" s="5"/>
      <c r="AJ107" s="11"/>
      <c r="AK107" s="8"/>
      <c r="AL107" s="8"/>
      <c r="AM107" s="8"/>
      <c r="AN107" s="8"/>
      <c r="AO107" s="10"/>
    </row>
    <row r="108" spans="13:41" x14ac:dyDescent="0.2">
      <c r="M108" s="8"/>
      <c r="N108" s="14"/>
      <c r="O108" s="14"/>
      <c r="P108" s="9"/>
      <c r="Q108" s="9"/>
      <c r="R108" s="9"/>
      <c r="S108" s="5"/>
      <c r="T108" s="9"/>
      <c r="U108" s="9"/>
      <c r="V108" s="9"/>
      <c r="W108" s="14"/>
      <c r="X108" s="9"/>
      <c r="Y108" s="9"/>
      <c r="Z108" s="9"/>
      <c r="AA108" s="5"/>
      <c r="AB108" s="10"/>
      <c r="AC108" s="10"/>
      <c r="AD108" s="10"/>
      <c r="AE108" s="11"/>
      <c r="AF108" s="13"/>
      <c r="AG108" s="13"/>
      <c r="AH108" s="5"/>
      <c r="AI108" s="5"/>
      <c r="AJ108" s="5"/>
      <c r="AK108" s="8"/>
      <c r="AL108" s="8"/>
      <c r="AM108" s="8"/>
      <c r="AN108" s="8"/>
      <c r="AO108" s="10"/>
    </row>
    <row r="109" spans="13:41" x14ac:dyDescent="0.2">
      <c r="M109" s="8"/>
      <c r="N109" s="14"/>
      <c r="O109" s="14"/>
      <c r="P109" s="9"/>
      <c r="Q109" s="9"/>
      <c r="R109" s="9"/>
      <c r="S109" s="5"/>
      <c r="T109" s="9"/>
      <c r="U109" s="9"/>
      <c r="V109" s="9"/>
      <c r="W109" s="14"/>
      <c r="X109" s="9"/>
      <c r="Y109" s="9"/>
      <c r="Z109" s="9"/>
      <c r="AA109" s="5"/>
      <c r="AB109" s="10"/>
      <c r="AC109" s="10"/>
      <c r="AD109" s="10"/>
      <c r="AE109" s="11"/>
      <c r="AF109" s="13"/>
      <c r="AG109" s="13"/>
      <c r="AH109" s="5"/>
      <c r="AI109" s="5"/>
      <c r="AJ109" s="5"/>
      <c r="AK109" s="8"/>
      <c r="AL109" s="8"/>
      <c r="AM109" s="8"/>
      <c r="AN109" s="8"/>
      <c r="AO109" s="10"/>
    </row>
    <row r="110" spans="13:41" x14ac:dyDescent="0.2">
      <c r="M110" s="8"/>
      <c r="N110" s="14"/>
      <c r="O110" s="14"/>
      <c r="P110" s="9"/>
      <c r="Q110" s="9"/>
      <c r="R110" s="9"/>
      <c r="S110" s="5"/>
      <c r="T110" s="9"/>
      <c r="U110" s="9"/>
      <c r="V110" s="9"/>
      <c r="W110" s="14"/>
      <c r="X110" s="9"/>
      <c r="Y110" s="9"/>
      <c r="Z110" s="9"/>
      <c r="AA110" s="5"/>
      <c r="AB110" s="10"/>
      <c r="AC110" s="10"/>
      <c r="AD110" s="10"/>
      <c r="AE110" s="11"/>
      <c r="AF110" s="13"/>
      <c r="AG110" s="13"/>
      <c r="AH110" s="5"/>
      <c r="AI110" s="5"/>
      <c r="AJ110" s="5"/>
      <c r="AK110" s="8"/>
      <c r="AL110" s="8"/>
      <c r="AM110" s="8"/>
      <c r="AN110" s="8"/>
      <c r="AO110" s="10"/>
    </row>
    <row r="111" spans="13:41" x14ac:dyDescent="0.2">
      <c r="M111" s="8"/>
      <c r="N111" s="14"/>
      <c r="O111" s="14"/>
      <c r="P111" s="9"/>
      <c r="Q111" s="9"/>
      <c r="R111" s="9"/>
      <c r="S111" s="5"/>
      <c r="T111" s="9"/>
      <c r="U111" s="9"/>
      <c r="V111" s="9"/>
      <c r="W111" s="14"/>
      <c r="X111" s="9"/>
      <c r="Y111" s="9"/>
      <c r="Z111" s="9"/>
      <c r="AA111" s="5"/>
      <c r="AB111" s="10"/>
      <c r="AC111" s="10"/>
      <c r="AD111" s="10"/>
      <c r="AE111" s="11"/>
      <c r="AF111" s="13"/>
      <c r="AG111" s="13"/>
      <c r="AH111" s="5"/>
      <c r="AI111" s="5"/>
      <c r="AJ111" s="5"/>
      <c r="AK111" s="8"/>
      <c r="AL111" s="8"/>
      <c r="AM111" s="8"/>
      <c r="AN111" s="8"/>
      <c r="AO111" s="10"/>
    </row>
    <row r="112" spans="13:41" x14ac:dyDescent="0.2">
      <c r="M112" s="8"/>
      <c r="N112" s="14"/>
      <c r="O112" s="14"/>
      <c r="P112" s="9"/>
      <c r="Q112" s="9"/>
      <c r="R112" s="9"/>
      <c r="S112" s="5"/>
      <c r="T112" s="9"/>
      <c r="U112" s="9"/>
      <c r="V112" s="9"/>
      <c r="W112" s="14"/>
      <c r="X112" s="9"/>
      <c r="Y112" s="9"/>
      <c r="Z112" s="9"/>
      <c r="AA112" s="5"/>
      <c r="AB112" s="10"/>
      <c r="AC112" s="10"/>
      <c r="AD112" s="10"/>
      <c r="AE112" s="11"/>
      <c r="AF112" s="13"/>
      <c r="AG112" s="13"/>
      <c r="AH112" s="5"/>
      <c r="AI112" s="5"/>
      <c r="AJ112" s="5"/>
      <c r="AK112" s="8"/>
      <c r="AL112" s="8"/>
      <c r="AM112" s="8"/>
      <c r="AN112" s="8"/>
      <c r="AO112" s="10"/>
    </row>
    <row r="113" spans="13:41" x14ac:dyDescent="0.2">
      <c r="M113" s="8"/>
      <c r="N113" s="14"/>
      <c r="O113" s="14"/>
      <c r="P113" s="9"/>
      <c r="Q113" s="9"/>
      <c r="R113" s="9"/>
      <c r="S113" s="5"/>
      <c r="T113" s="9"/>
      <c r="U113" s="9"/>
      <c r="V113" s="9"/>
      <c r="W113" s="14"/>
      <c r="X113" s="9"/>
      <c r="Y113" s="9"/>
      <c r="Z113" s="9"/>
      <c r="AA113" s="5"/>
      <c r="AB113" s="10"/>
      <c r="AC113" s="10"/>
      <c r="AD113" s="10"/>
      <c r="AE113" s="11"/>
      <c r="AF113" s="13"/>
      <c r="AG113" s="13"/>
      <c r="AH113" s="5"/>
      <c r="AI113" s="5"/>
      <c r="AJ113" s="5"/>
      <c r="AK113" s="8"/>
      <c r="AL113" s="8"/>
      <c r="AM113" s="8"/>
      <c r="AN113" s="8"/>
      <c r="AO113" s="10"/>
    </row>
    <row r="114" spans="13:41" x14ac:dyDescent="0.2">
      <c r="M114" s="8"/>
      <c r="N114" s="14"/>
      <c r="O114" s="14"/>
      <c r="P114" s="9"/>
      <c r="Q114" s="9"/>
      <c r="R114" s="9"/>
      <c r="S114" s="5"/>
      <c r="T114" s="9"/>
      <c r="U114" s="9"/>
      <c r="V114" s="9"/>
      <c r="W114" s="14"/>
      <c r="X114" s="9"/>
      <c r="Y114" s="9"/>
      <c r="Z114" s="9"/>
      <c r="AA114" s="5"/>
      <c r="AB114" s="10"/>
      <c r="AC114" s="10"/>
      <c r="AD114" s="10"/>
      <c r="AE114" s="11"/>
      <c r="AF114" s="13"/>
      <c r="AG114" s="13"/>
      <c r="AH114" s="5"/>
      <c r="AI114" s="5"/>
      <c r="AJ114" s="5"/>
      <c r="AK114" s="8"/>
      <c r="AL114" s="8"/>
      <c r="AM114" s="8"/>
      <c r="AN114" s="8"/>
      <c r="AO114" s="10"/>
    </row>
    <row r="115" spans="13:41" x14ac:dyDescent="0.2">
      <c r="M115" s="8"/>
      <c r="N115" s="14"/>
      <c r="O115" s="14"/>
      <c r="P115" s="9"/>
      <c r="Q115" s="9"/>
      <c r="R115" s="9"/>
      <c r="S115" s="5"/>
      <c r="T115" s="9"/>
      <c r="U115" s="9"/>
      <c r="V115" s="9"/>
      <c r="W115" s="14"/>
      <c r="X115" s="9"/>
      <c r="Y115" s="9"/>
      <c r="Z115" s="9"/>
      <c r="AA115" s="5"/>
      <c r="AB115" s="10"/>
      <c r="AC115" s="10"/>
      <c r="AD115" s="10"/>
      <c r="AE115" s="11"/>
      <c r="AF115" s="13"/>
      <c r="AG115" s="13"/>
      <c r="AH115" s="5"/>
      <c r="AI115" s="5"/>
      <c r="AJ115" s="5"/>
      <c r="AK115" s="8"/>
      <c r="AL115" s="8"/>
      <c r="AM115" s="8"/>
      <c r="AN115" s="8"/>
      <c r="AO115" s="10"/>
    </row>
    <row r="116" spans="13:41" x14ac:dyDescent="0.2">
      <c r="M116" s="8"/>
      <c r="N116" s="14"/>
      <c r="O116" s="14"/>
      <c r="P116" s="9"/>
      <c r="Q116" s="9"/>
      <c r="R116" s="9"/>
      <c r="S116" s="5"/>
      <c r="T116" s="9"/>
      <c r="U116" s="9"/>
      <c r="V116" s="9"/>
      <c r="W116" s="14"/>
      <c r="X116" s="9"/>
      <c r="Y116" s="9"/>
      <c r="Z116" s="9"/>
      <c r="AA116" s="5"/>
      <c r="AB116" s="10"/>
      <c r="AC116" s="10"/>
      <c r="AD116" s="10"/>
      <c r="AE116" s="11"/>
      <c r="AF116" s="13"/>
      <c r="AG116" s="13"/>
      <c r="AH116" s="5"/>
      <c r="AI116" s="5"/>
      <c r="AJ116" s="5"/>
      <c r="AK116" s="8"/>
      <c r="AL116" s="8"/>
      <c r="AM116" s="8"/>
      <c r="AN116" s="8"/>
      <c r="AO116" s="10"/>
    </row>
    <row r="117" spans="13:41" x14ac:dyDescent="0.2">
      <c r="M117" s="8"/>
      <c r="N117" s="14"/>
      <c r="O117" s="14"/>
      <c r="P117" s="9"/>
      <c r="Q117" s="9"/>
      <c r="R117" s="9"/>
      <c r="S117" s="5"/>
      <c r="T117" s="9"/>
      <c r="U117" s="9"/>
      <c r="V117" s="9"/>
      <c r="W117" s="14"/>
      <c r="X117" s="9"/>
      <c r="Y117" s="9"/>
      <c r="Z117" s="9"/>
      <c r="AA117" s="5"/>
      <c r="AB117" s="10"/>
      <c r="AC117" s="10"/>
      <c r="AD117" s="10"/>
      <c r="AE117" s="11"/>
      <c r="AF117" s="13"/>
      <c r="AG117" s="13"/>
      <c r="AH117" s="5"/>
      <c r="AI117" s="5"/>
      <c r="AJ117" s="5"/>
      <c r="AK117" s="8"/>
      <c r="AL117" s="8"/>
      <c r="AM117" s="8"/>
      <c r="AN117" s="8"/>
      <c r="AO117" s="10"/>
    </row>
    <row r="118" spans="13:41" x14ac:dyDescent="0.2">
      <c r="M118" s="8"/>
      <c r="N118" s="14"/>
      <c r="O118" s="14"/>
      <c r="P118" s="9"/>
      <c r="Q118" s="9"/>
      <c r="R118" s="9"/>
      <c r="S118" s="5"/>
      <c r="T118" s="9"/>
      <c r="U118" s="9"/>
      <c r="V118" s="9"/>
      <c r="W118" s="14"/>
      <c r="X118" s="9"/>
      <c r="Y118" s="9"/>
      <c r="Z118" s="9"/>
      <c r="AA118" s="5"/>
      <c r="AB118" s="10"/>
      <c r="AC118" s="10"/>
      <c r="AD118" s="10"/>
      <c r="AE118" s="11"/>
      <c r="AF118" s="13"/>
      <c r="AG118" s="13"/>
      <c r="AH118" s="5"/>
      <c r="AI118" s="5"/>
      <c r="AJ118" s="5"/>
      <c r="AK118" s="8"/>
      <c r="AL118" s="8"/>
      <c r="AM118" s="8"/>
      <c r="AN118" s="8"/>
      <c r="AO118" s="10"/>
    </row>
    <row r="119" spans="13:41" x14ac:dyDescent="0.2">
      <c r="M119" s="8"/>
      <c r="N119" s="14"/>
      <c r="O119" s="14"/>
      <c r="P119" s="9"/>
      <c r="Q119" s="9"/>
      <c r="R119" s="9"/>
      <c r="S119" s="5"/>
      <c r="T119" s="9"/>
      <c r="U119" s="9"/>
      <c r="V119" s="9"/>
      <c r="W119" s="14"/>
      <c r="X119" s="9"/>
      <c r="Y119" s="9"/>
      <c r="Z119" s="9"/>
      <c r="AA119" s="5"/>
      <c r="AB119" s="10"/>
      <c r="AC119" s="10"/>
      <c r="AD119" s="10"/>
      <c r="AE119" s="11"/>
      <c r="AF119" s="13"/>
      <c r="AG119" s="13"/>
      <c r="AH119" s="5"/>
      <c r="AI119" s="5"/>
      <c r="AJ119" s="5"/>
      <c r="AK119" s="8"/>
      <c r="AL119" s="8"/>
      <c r="AM119" s="8"/>
      <c r="AN119" s="8"/>
      <c r="AO119" s="10"/>
    </row>
    <row r="120" spans="13:41" x14ac:dyDescent="0.2">
      <c r="M120" s="8"/>
      <c r="N120" s="14"/>
      <c r="O120" s="14"/>
      <c r="P120" s="9"/>
      <c r="Q120" s="9"/>
      <c r="R120" s="9"/>
      <c r="S120" s="5"/>
      <c r="T120" s="9"/>
      <c r="U120" s="9"/>
      <c r="V120" s="9"/>
      <c r="W120" s="14"/>
      <c r="X120" s="9"/>
      <c r="Y120" s="9"/>
      <c r="Z120" s="9"/>
      <c r="AA120" s="5"/>
      <c r="AB120" s="10"/>
      <c r="AC120" s="10"/>
      <c r="AD120" s="10"/>
      <c r="AE120" s="11"/>
      <c r="AF120" s="13"/>
      <c r="AG120" s="13"/>
      <c r="AH120" s="5"/>
      <c r="AI120" s="5"/>
      <c r="AJ120" s="5"/>
      <c r="AK120" s="8"/>
      <c r="AL120" s="8"/>
      <c r="AM120" s="8"/>
      <c r="AN120" s="8"/>
      <c r="AO120" s="10"/>
    </row>
    <row r="121" spans="13:41" x14ac:dyDescent="0.2">
      <c r="M121" s="8"/>
      <c r="N121" s="14"/>
      <c r="O121" s="14"/>
      <c r="P121" s="9"/>
      <c r="Q121" s="9"/>
      <c r="R121" s="9"/>
      <c r="S121" s="5"/>
      <c r="T121" s="9"/>
      <c r="U121" s="9"/>
      <c r="V121" s="9"/>
      <c r="W121" s="14"/>
      <c r="X121" s="9"/>
      <c r="Y121" s="9"/>
      <c r="Z121" s="9"/>
      <c r="AA121" s="5"/>
      <c r="AB121" s="10"/>
      <c r="AC121" s="10"/>
      <c r="AD121" s="10"/>
      <c r="AE121" s="11"/>
      <c r="AF121" s="13"/>
      <c r="AG121" s="13"/>
      <c r="AH121" s="5"/>
      <c r="AI121" s="5"/>
      <c r="AJ121" s="5"/>
      <c r="AK121" s="8"/>
      <c r="AL121" s="8"/>
      <c r="AM121" s="8"/>
      <c r="AN121" s="8"/>
      <c r="AO121" s="10"/>
    </row>
    <row r="122" spans="13:41" x14ac:dyDescent="0.2">
      <c r="M122" s="8"/>
      <c r="N122" s="14"/>
      <c r="O122" s="14"/>
      <c r="P122" s="9"/>
      <c r="Q122" s="9"/>
      <c r="R122" s="9"/>
      <c r="S122" s="5"/>
      <c r="T122" s="9"/>
      <c r="U122" s="9"/>
      <c r="V122" s="9"/>
      <c r="W122" s="14"/>
      <c r="X122" s="9"/>
      <c r="Y122" s="9"/>
      <c r="Z122" s="9"/>
      <c r="AA122" s="5"/>
      <c r="AB122" s="10"/>
      <c r="AC122" s="10"/>
      <c r="AD122" s="10"/>
      <c r="AE122" s="11"/>
      <c r="AF122" s="13"/>
      <c r="AG122" s="13"/>
      <c r="AH122" s="5"/>
      <c r="AI122" s="5"/>
      <c r="AJ122" s="5"/>
      <c r="AK122" s="8"/>
      <c r="AL122" s="8"/>
      <c r="AM122" s="8"/>
      <c r="AN122" s="8"/>
      <c r="AO122" s="10"/>
    </row>
    <row r="123" spans="13:41" x14ac:dyDescent="0.2">
      <c r="M123" s="8"/>
      <c r="N123" s="14"/>
      <c r="O123" s="14"/>
      <c r="P123" s="9"/>
      <c r="Q123" s="9"/>
      <c r="R123" s="9"/>
      <c r="S123" s="5"/>
      <c r="T123" s="9"/>
      <c r="U123" s="9"/>
      <c r="V123" s="9"/>
      <c r="W123" s="14"/>
      <c r="X123" s="9"/>
      <c r="Y123" s="9"/>
      <c r="Z123" s="9"/>
      <c r="AA123" s="5"/>
      <c r="AB123" s="10"/>
      <c r="AC123" s="10"/>
      <c r="AD123" s="10"/>
      <c r="AE123" s="11"/>
      <c r="AF123" s="13"/>
      <c r="AG123" s="13"/>
      <c r="AH123" s="5"/>
      <c r="AI123" s="5"/>
      <c r="AJ123" s="5"/>
      <c r="AK123" s="8"/>
      <c r="AL123" s="8"/>
      <c r="AM123" s="8"/>
      <c r="AN123" s="8"/>
      <c r="AO123" s="10"/>
    </row>
    <row r="124" spans="13:41" x14ac:dyDescent="0.2">
      <c r="M124" s="8"/>
      <c r="N124" s="14"/>
      <c r="O124" s="14"/>
      <c r="P124" s="9"/>
      <c r="Q124" s="9"/>
      <c r="R124" s="9"/>
      <c r="S124" s="5"/>
      <c r="T124" s="9"/>
      <c r="U124" s="9"/>
      <c r="V124" s="9"/>
      <c r="W124" s="14"/>
      <c r="X124" s="9"/>
      <c r="Y124" s="9"/>
      <c r="Z124" s="9"/>
      <c r="AA124" s="5"/>
      <c r="AB124" s="10"/>
      <c r="AC124" s="10"/>
      <c r="AD124" s="10"/>
      <c r="AE124" s="11"/>
      <c r="AF124" s="13"/>
      <c r="AG124" s="13"/>
      <c r="AH124" s="5"/>
      <c r="AI124" s="5"/>
      <c r="AJ124" s="5"/>
      <c r="AK124" s="8"/>
      <c r="AL124" s="8"/>
      <c r="AM124" s="8"/>
      <c r="AN124" s="8"/>
      <c r="AO124" s="10"/>
    </row>
    <row r="125" spans="13:41" x14ac:dyDescent="0.2">
      <c r="M125" s="8"/>
      <c r="N125" s="14"/>
      <c r="O125" s="14"/>
      <c r="P125" s="9"/>
      <c r="Q125" s="9"/>
      <c r="R125" s="9"/>
      <c r="S125" s="5"/>
      <c r="T125" s="9"/>
      <c r="U125" s="9"/>
      <c r="V125" s="9"/>
      <c r="W125" s="14"/>
      <c r="X125" s="9"/>
      <c r="Y125" s="9"/>
      <c r="Z125" s="9"/>
      <c r="AA125" s="5"/>
      <c r="AB125" s="10"/>
      <c r="AC125" s="10"/>
      <c r="AD125" s="10"/>
      <c r="AE125" s="11"/>
      <c r="AF125" s="13"/>
      <c r="AG125" s="13"/>
      <c r="AH125" s="5"/>
      <c r="AI125" s="5"/>
      <c r="AJ125" s="5"/>
      <c r="AK125" s="8"/>
      <c r="AL125" s="8"/>
      <c r="AM125" s="8"/>
      <c r="AN125" s="8"/>
      <c r="AO125" s="10"/>
    </row>
    <row r="126" spans="13:41" x14ac:dyDescent="0.2">
      <c r="M126" s="8"/>
      <c r="N126" s="14"/>
      <c r="O126" s="14"/>
      <c r="P126" s="9"/>
      <c r="Q126" s="9"/>
      <c r="R126" s="9"/>
      <c r="S126" s="5"/>
      <c r="T126" s="9"/>
      <c r="U126" s="9"/>
      <c r="V126" s="9"/>
      <c r="W126" s="14"/>
      <c r="X126" s="9"/>
      <c r="Y126" s="9"/>
      <c r="Z126" s="9"/>
      <c r="AA126" s="5"/>
      <c r="AB126" s="10"/>
      <c r="AC126" s="10"/>
      <c r="AD126" s="10"/>
      <c r="AE126" s="11"/>
      <c r="AF126" s="13"/>
      <c r="AG126" s="13"/>
      <c r="AH126" s="5"/>
      <c r="AI126" s="5"/>
      <c r="AJ126" s="5"/>
      <c r="AK126" s="8"/>
      <c r="AL126" s="8"/>
      <c r="AM126" s="8"/>
      <c r="AN126" s="8"/>
      <c r="AO126" s="10"/>
    </row>
    <row r="127" spans="13:41" x14ac:dyDescent="0.2">
      <c r="M127" s="8"/>
      <c r="N127" s="14"/>
      <c r="O127" s="14"/>
      <c r="P127" s="9"/>
      <c r="Q127" s="9"/>
      <c r="R127" s="9"/>
      <c r="S127" s="5"/>
      <c r="T127" s="9"/>
      <c r="U127" s="9"/>
      <c r="V127" s="9"/>
      <c r="W127" s="14"/>
      <c r="X127" s="9"/>
      <c r="Y127" s="9"/>
      <c r="Z127" s="9"/>
      <c r="AA127" s="5"/>
      <c r="AB127" s="10"/>
      <c r="AC127" s="10"/>
      <c r="AD127" s="10"/>
      <c r="AE127" s="11"/>
      <c r="AF127" s="13"/>
      <c r="AG127" s="13"/>
      <c r="AH127" s="5"/>
      <c r="AI127" s="5"/>
      <c r="AJ127" s="5"/>
      <c r="AK127" s="8"/>
      <c r="AL127" s="8"/>
      <c r="AM127" s="8"/>
      <c r="AN127" s="8"/>
      <c r="AO127" s="10"/>
    </row>
    <row r="128" spans="13:41" x14ac:dyDescent="0.2">
      <c r="M128" s="8"/>
      <c r="N128" s="14"/>
      <c r="O128" s="14"/>
      <c r="P128" s="9"/>
      <c r="Q128" s="9"/>
      <c r="R128" s="9"/>
      <c r="S128" s="5"/>
      <c r="T128" s="9"/>
      <c r="U128" s="9"/>
      <c r="V128" s="9"/>
      <c r="W128" s="14"/>
      <c r="X128" s="9"/>
      <c r="Y128" s="9"/>
      <c r="Z128" s="9"/>
      <c r="AA128" s="5"/>
      <c r="AB128" s="10"/>
      <c r="AC128" s="10"/>
      <c r="AD128" s="10"/>
      <c r="AE128" s="11"/>
      <c r="AF128" s="13"/>
      <c r="AG128" s="13"/>
      <c r="AH128" s="5"/>
      <c r="AI128" s="5"/>
      <c r="AJ128" s="5"/>
      <c r="AK128" s="8"/>
      <c r="AL128" s="8"/>
      <c r="AM128" s="8"/>
      <c r="AN128" s="8"/>
      <c r="AO128" s="10"/>
    </row>
    <row r="129" spans="13:41" x14ac:dyDescent="0.2">
      <c r="M129" s="8"/>
      <c r="N129" s="14"/>
      <c r="O129" s="14"/>
      <c r="P129" s="9"/>
      <c r="Q129" s="9"/>
      <c r="R129" s="9"/>
      <c r="S129" s="5"/>
      <c r="T129" s="9"/>
      <c r="U129" s="9"/>
      <c r="V129" s="9"/>
      <c r="W129" s="14"/>
      <c r="X129" s="9"/>
      <c r="Y129" s="9"/>
      <c r="Z129" s="9"/>
      <c r="AA129" s="5"/>
      <c r="AB129" s="10"/>
      <c r="AC129" s="10"/>
      <c r="AD129" s="10"/>
      <c r="AE129" s="11"/>
      <c r="AF129" s="13"/>
      <c r="AG129" s="13"/>
      <c r="AH129" s="5"/>
      <c r="AI129" s="5"/>
      <c r="AJ129" s="5"/>
      <c r="AK129" s="8"/>
      <c r="AL129" s="8"/>
      <c r="AM129" s="8"/>
      <c r="AN129" s="8"/>
      <c r="AO129" s="10"/>
    </row>
    <row r="130" spans="13:41" x14ac:dyDescent="0.2">
      <c r="M130" s="8"/>
      <c r="N130" s="14"/>
      <c r="O130" s="14"/>
      <c r="P130" s="9"/>
      <c r="Q130" s="9"/>
      <c r="R130" s="9"/>
      <c r="S130" s="5"/>
      <c r="T130" s="9"/>
      <c r="U130" s="9"/>
      <c r="V130" s="9"/>
      <c r="W130" s="14"/>
      <c r="X130" s="9"/>
      <c r="Y130" s="9"/>
      <c r="Z130" s="9"/>
      <c r="AA130" s="5"/>
      <c r="AB130" s="10"/>
      <c r="AC130" s="10"/>
      <c r="AD130" s="10"/>
      <c r="AE130" s="11"/>
      <c r="AF130" s="13"/>
      <c r="AG130" s="13"/>
      <c r="AH130" s="5"/>
      <c r="AI130" s="5"/>
      <c r="AJ130" s="5"/>
      <c r="AK130" s="8"/>
      <c r="AL130" s="8"/>
      <c r="AM130" s="8"/>
      <c r="AN130" s="8"/>
      <c r="AO130" s="10"/>
    </row>
    <row r="131" spans="13:41" x14ac:dyDescent="0.2">
      <c r="M131" s="8"/>
      <c r="N131" s="14"/>
      <c r="O131" s="14"/>
      <c r="P131" s="9"/>
      <c r="Q131" s="9"/>
      <c r="R131" s="9"/>
      <c r="S131" s="5"/>
      <c r="T131" s="9"/>
      <c r="U131" s="9"/>
      <c r="V131" s="9"/>
      <c r="W131" s="14"/>
      <c r="X131" s="9"/>
      <c r="Y131" s="9"/>
      <c r="Z131" s="9"/>
      <c r="AA131" s="5"/>
      <c r="AB131" s="10"/>
      <c r="AC131" s="10"/>
      <c r="AD131" s="10"/>
      <c r="AE131" s="11"/>
      <c r="AF131" s="13"/>
      <c r="AG131" s="13"/>
      <c r="AH131" s="5"/>
      <c r="AI131" s="5"/>
      <c r="AJ131" s="5"/>
      <c r="AK131" s="8"/>
      <c r="AL131" s="8"/>
      <c r="AM131" s="8"/>
      <c r="AN131" s="8"/>
      <c r="AO131" s="10"/>
    </row>
    <row r="132" spans="13:41" x14ac:dyDescent="0.2">
      <c r="M132" s="8"/>
      <c r="N132" s="14"/>
      <c r="O132" s="14"/>
      <c r="P132" s="9"/>
      <c r="Q132" s="9"/>
      <c r="R132" s="9"/>
      <c r="S132" s="5"/>
      <c r="T132" s="9"/>
      <c r="U132" s="9"/>
      <c r="V132" s="9"/>
      <c r="W132" s="14"/>
      <c r="X132" s="9"/>
      <c r="Y132" s="9"/>
      <c r="Z132" s="9"/>
      <c r="AA132" s="5"/>
      <c r="AB132" s="10"/>
      <c r="AC132" s="10"/>
      <c r="AD132" s="10"/>
      <c r="AE132" s="11"/>
      <c r="AF132" s="13"/>
      <c r="AG132" s="13"/>
      <c r="AH132" s="5"/>
      <c r="AI132" s="5"/>
      <c r="AJ132" s="5"/>
      <c r="AK132" s="8"/>
      <c r="AL132" s="8"/>
      <c r="AM132" s="8"/>
      <c r="AN132" s="8"/>
      <c r="AO132" s="10"/>
    </row>
    <row r="133" spans="13:41" x14ac:dyDescent="0.2">
      <c r="M133" s="8"/>
      <c r="N133" s="14"/>
      <c r="O133" s="14"/>
      <c r="P133" s="9"/>
      <c r="Q133" s="9"/>
      <c r="R133" s="9"/>
      <c r="S133" s="5"/>
      <c r="T133" s="9"/>
      <c r="U133" s="9"/>
      <c r="V133" s="9"/>
      <c r="W133" s="14"/>
      <c r="X133" s="9"/>
      <c r="Y133" s="9"/>
      <c r="Z133" s="9"/>
      <c r="AA133" s="5"/>
      <c r="AB133" s="10"/>
      <c r="AC133" s="10"/>
      <c r="AD133" s="10"/>
      <c r="AE133" s="11"/>
      <c r="AF133" s="13"/>
      <c r="AG133" s="13"/>
      <c r="AH133" s="5"/>
      <c r="AI133" s="5"/>
      <c r="AJ133" s="5"/>
      <c r="AK133" s="8"/>
      <c r="AL133" s="8"/>
      <c r="AM133" s="8"/>
      <c r="AN133" s="8"/>
      <c r="AO133" s="10"/>
    </row>
    <row r="134" spans="13:41" x14ac:dyDescent="0.2">
      <c r="M134" s="8"/>
      <c r="N134" s="14"/>
      <c r="O134" s="14"/>
      <c r="P134" s="9"/>
      <c r="Q134" s="9"/>
      <c r="R134" s="9"/>
      <c r="S134" s="5"/>
      <c r="T134" s="9"/>
      <c r="U134" s="9"/>
      <c r="V134" s="9"/>
      <c r="W134" s="14"/>
      <c r="X134" s="9"/>
      <c r="Y134" s="9"/>
      <c r="Z134" s="9"/>
      <c r="AA134" s="5"/>
      <c r="AB134" s="10"/>
      <c r="AC134" s="10"/>
      <c r="AD134" s="10"/>
      <c r="AE134" s="11"/>
      <c r="AF134" s="13"/>
      <c r="AG134" s="13"/>
      <c r="AH134" s="5"/>
      <c r="AI134" s="5"/>
      <c r="AJ134" s="5"/>
      <c r="AK134" s="8"/>
      <c r="AL134" s="8"/>
      <c r="AM134" s="8"/>
      <c r="AN134" s="8"/>
      <c r="AO134" s="10"/>
    </row>
    <row r="135" spans="13:41" x14ac:dyDescent="0.2">
      <c r="M135" s="8"/>
      <c r="N135" s="14"/>
      <c r="O135" s="14"/>
      <c r="P135" s="9"/>
      <c r="Q135" s="9"/>
      <c r="R135" s="9"/>
      <c r="S135" s="5"/>
      <c r="T135" s="9"/>
      <c r="U135" s="9"/>
      <c r="V135" s="9"/>
      <c r="W135" s="14"/>
      <c r="X135" s="9"/>
      <c r="Y135" s="9"/>
      <c r="Z135" s="9"/>
      <c r="AA135" s="5"/>
      <c r="AB135" s="10"/>
      <c r="AC135" s="10"/>
      <c r="AD135" s="10"/>
      <c r="AE135" s="11"/>
      <c r="AF135" s="13"/>
      <c r="AG135" s="13"/>
      <c r="AH135" s="5"/>
      <c r="AI135" s="5"/>
      <c r="AJ135" s="5"/>
      <c r="AK135" s="8"/>
      <c r="AL135" s="8"/>
      <c r="AM135" s="8"/>
      <c r="AN135" s="8"/>
      <c r="AO135" s="10"/>
    </row>
    <row r="136" spans="13:41" x14ac:dyDescent="0.2">
      <c r="M136" s="8"/>
      <c r="N136" s="14"/>
      <c r="O136" s="14"/>
      <c r="P136" s="9"/>
      <c r="Q136" s="9"/>
      <c r="R136" s="9"/>
      <c r="S136" s="5"/>
      <c r="T136" s="9"/>
      <c r="U136" s="9"/>
      <c r="V136" s="9"/>
      <c r="W136" s="14"/>
      <c r="X136" s="9"/>
      <c r="Y136" s="9"/>
      <c r="Z136" s="9"/>
      <c r="AA136" s="5"/>
      <c r="AB136" s="10"/>
      <c r="AC136" s="10"/>
      <c r="AD136" s="10"/>
      <c r="AE136" s="11"/>
      <c r="AF136" s="13"/>
      <c r="AG136" s="13"/>
      <c r="AH136" s="5"/>
      <c r="AI136" s="5"/>
      <c r="AJ136" s="5"/>
      <c r="AK136" s="8"/>
      <c r="AL136" s="8"/>
      <c r="AM136" s="8"/>
      <c r="AN136" s="8"/>
      <c r="AO136" s="10"/>
    </row>
    <row r="137" spans="13:41" x14ac:dyDescent="0.2">
      <c r="M137" s="8"/>
      <c r="N137" s="14"/>
      <c r="O137" s="14"/>
      <c r="P137" s="9"/>
      <c r="Q137" s="9"/>
      <c r="R137" s="9"/>
      <c r="S137" s="5"/>
      <c r="T137" s="9"/>
      <c r="U137" s="9"/>
      <c r="V137" s="9"/>
      <c r="W137" s="14"/>
      <c r="X137" s="9"/>
      <c r="Y137" s="9"/>
      <c r="Z137" s="9"/>
      <c r="AA137" s="5"/>
      <c r="AB137" s="10"/>
      <c r="AC137" s="10"/>
      <c r="AD137" s="10"/>
      <c r="AE137" s="11"/>
      <c r="AF137" s="13"/>
      <c r="AG137" s="13"/>
      <c r="AH137" s="5"/>
      <c r="AI137" s="5"/>
      <c r="AJ137" s="5"/>
      <c r="AK137" s="8"/>
      <c r="AL137" s="8"/>
      <c r="AM137" s="8"/>
      <c r="AN137" s="8"/>
      <c r="AO137" s="10"/>
    </row>
    <row r="138" spans="13:41" x14ac:dyDescent="0.2">
      <c r="M138" s="8"/>
      <c r="N138" s="14"/>
      <c r="O138" s="14"/>
      <c r="P138" s="9"/>
      <c r="Q138" s="9"/>
      <c r="R138" s="9"/>
      <c r="S138" s="5"/>
      <c r="T138" s="9"/>
      <c r="U138" s="9"/>
      <c r="V138" s="9"/>
      <c r="W138" s="14"/>
      <c r="X138" s="9"/>
      <c r="Y138" s="9"/>
      <c r="Z138" s="9"/>
      <c r="AA138" s="5"/>
      <c r="AB138" s="10"/>
      <c r="AC138" s="10"/>
      <c r="AD138" s="10"/>
      <c r="AE138" s="11"/>
      <c r="AF138" s="13"/>
      <c r="AG138" s="13"/>
      <c r="AH138" s="5"/>
      <c r="AI138" s="5"/>
      <c r="AJ138" s="5"/>
      <c r="AK138" s="8"/>
      <c r="AL138" s="8"/>
      <c r="AM138" s="8"/>
      <c r="AN138" s="8"/>
      <c r="AO138" s="10"/>
    </row>
    <row r="139" spans="13:41" x14ac:dyDescent="0.2">
      <c r="M139" s="8"/>
      <c r="N139" s="14"/>
      <c r="O139" s="14"/>
      <c r="P139" s="9"/>
      <c r="Q139" s="9"/>
      <c r="R139" s="9"/>
      <c r="S139" s="5"/>
      <c r="T139" s="9"/>
      <c r="U139" s="9"/>
      <c r="V139" s="9"/>
      <c r="W139" s="14"/>
      <c r="X139" s="9"/>
      <c r="Y139" s="9"/>
      <c r="Z139" s="9"/>
      <c r="AA139" s="5"/>
      <c r="AB139" s="10"/>
      <c r="AC139" s="10"/>
      <c r="AD139" s="10"/>
      <c r="AE139" s="11"/>
      <c r="AF139" s="13"/>
      <c r="AG139" s="13"/>
      <c r="AH139" s="5"/>
      <c r="AI139" s="5"/>
      <c r="AJ139" s="5"/>
      <c r="AK139" s="8"/>
      <c r="AL139" s="8"/>
      <c r="AM139" s="8"/>
      <c r="AN139" s="8"/>
      <c r="AO139" s="10"/>
    </row>
    <row r="140" spans="13:41" x14ac:dyDescent="0.2">
      <c r="M140" s="8"/>
      <c r="N140" s="14"/>
      <c r="O140" s="14"/>
      <c r="P140" s="9"/>
      <c r="Q140" s="9"/>
      <c r="R140" s="9"/>
      <c r="S140" s="5"/>
      <c r="T140" s="9"/>
      <c r="U140" s="9"/>
      <c r="V140" s="9"/>
      <c r="W140" s="14"/>
      <c r="X140" s="9"/>
      <c r="Y140" s="9"/>
      <c r="Z140" s="9"/>
      <c r="AA140" s="5"/>
      <c r="AB140" s="10"/>
      <c r="AC140" s="10"/>
      <c r="AD140" s="10"/>
      <c r="AE140" s="11"/>
      <c r="AF140" s="13"/>
      <c r="AG140" s="13"/>
      <c r="AH140" s="5"/>
      <c r="AI140" s="5"/>
      <c r="AJ140" s="5"/>
      <c r="AK140" s="8"/>
      <c r="AL140" s="8"/>
      <c r="AM140" s="8"/>
      <c r="AN140" s="8"/>
      <c r="AO140" s="10"/>
    </row>
    <row r="141" spans="13:41" x14ac:dyDescent="0.2">
      <c r="M141" s="8"/>
      <c r="N141" s="14"/>
      <c r="O141" s="14"/>
      <c r="P141" s="9"/>
      <c r="Q141" s="9"/>
      <c r="R141" s="9"/>
      <c r="S141" s="5"/>
      <c r="T141" s="9"/>
      <c r="U141" s="9"/>
      <c r="V141" s="9"/>
      <c r="W141" s="14"/>
      <c r="X141" s="9"/>
      <c r="Y141" s="9"/>
      <c r="Z141" s="9"/>
      <c r="AA141" s="5"/>
      <c r="AB141" s="10"/>
      <c r="AC141" s="10"/>
      <c r="AD141" s="10"/>
      <c r="AE141" s="11"/>
      <c r="AF141" s="13"/>
      <c r="AG141" s="13"/>
      <c r="AH141" s="5"/>
      <c r="AI141" s="5"/>
      <c r="AJ141" s="5"/>
      <c r="AK141" s="8"/>
      <c r="AL141" s="8"/>
      <c r="AM141" s="8"/>
      <c r="AN141" s="8"/>
      <c r="AO141" s="10"/>
    </row>
    <row r="142" spans="13:41" x14ac:dyDescent="0.2">
      <c r="M142" s="8"/>
      <c r="N142" s="14"/>
      <c r="O142" s="14"/>
      <c r="P142" s="9"/>
      <c r="Q142" s="9"/>
      <c r="R142" s="9"/>
      <c r="S142" s="5"/>
      <c r="T142" s="9"/>
      <c r="U142" s="9"/>
      <c r="V142" s="9"/>
      <c r="W142" s="14"/>
      <c r="X142" s="9"/>
      <c r="Y142" s="9"/>
      <c r="Z142" s="9"/>
      <c r="AA142" s="5"/>
      <c r="AB142" s="10"/>
      <c r="AC142" s="10"/>
      <c r="AD142" s="10"/>
      <c r="AE142" s="11"/>
      <c r="AF142" s="13"/>
      <c r="AG142" s="13"/>
      <c r="AH142" s="5"/>
      <c r="AI142" s="5"/>
      <c r="AJ142" s="5"/>
      <c r="AK142" s="8"/>
      <c r="AL142" s="8"/>
      <c r="AM142" s="8"/>
      <c r="AN142" s="8"/>
      <c r="AO142" s="10"/>
    </row>
    <row r="143" spans="13:41" x14ac:dyDescent="0.2">
      <c r="M143" s="8"/>
      <c r="N143" s="14"/>
      <c r="O143" s="14"/>
      <c r="P143" s="9"/>
      <c r="Q143" s="9"/>
      <c r="R143" s="9"/>
      <c r="S143" s="5"/>
      <c r="T143" s="9"/>
      <c r="U143" s="9"/>
      <c r="V143" s="9"/>
      <c r="W143" s="14"/>
      <c r="X143" s="9"/>
      <c r="Y143" s="9"/>
      <c r="Z143" s="9"/>
      <c r="AA143" s="5"/>
      <c r="AB143" s="10"/>
      <c r="AC143" s="10"/>
      <c r="AD143" s="10"/>
      <c r="AE143" s="11"/>
      <c r="AF143" s="13"/>
      <c r="AG143" s="13"/>
      <c r="AH143" s="5"/>
      <c r="AI143" s="5"/>
      <c r="AJ143" s="5"/>
      <c r="AK143" s="8"/>
      <c r="AL143" s="8"/>
      <c r="AM143" s="8"/>
      <c r="AN143" s="8"/>
      <c r="AO143" s="10"/>
    </row>
    <row r="144" spans="13:41" x14ac:dyDescent="0.2">
      <c r="M144" s="8"/>
      <c r="N144" s="14"/>
      <c r="O144" s="14"/>
      <c r="P144" s="9"/>
      <c r="Q144" s="9"/>
      <c r="R144" s="9"/>
      <c r="S144" s="5"/>
      <c r="T144" s="9"/>
      <c r="U144" s="9"/>
      <c r="V144" s="9"/>
      <c r="W144" s="14"/>
      <c r="X144" s="9"/>
      <c r="Y144" s="9"/>
      <c r="Z144" s="9"/>
      <c r="AA144" s="5"/>
      <c r="AB144" s="10"/>
      <c r="AC144" s="10"/>
      <c r="AD144" s="10"/>
      <c r="AE144" s="11"/>
      <c r="AF144" s="13"/>
      <c r="AG144" s="13"/>
      <c r="AH144" s="5"/>
      <c r="AI144" s="5"/>
      <c r="AJ144" s="5"/>
      <c r="AK144" s="8"/>
      <c r="AL144" s="8"/>
      <c r="AM144" s="8"/>
      <c r="AN144" s="8"/>
      <c r="AO144" s="10"/>
    </row>
    <row r="145" spans="13:41" x14ac:dyDescent="0.2">
      <c r="M145" s="8"/>
      <c r="N145" s="14"/>
      <c r="O145" s="14"/>
      <c r="P145" s="9"/>
      <c r="Q145" s="9"/>
      <c r="R145" s="9"/>
      <c r="S145" s="5"/>
      <c r="T145" s="9"/>
      <c r="U145" s="9"/>
      <c r="V145" s="9"/>
      <c r="W145" s="14"/>
      <c r="X145" s="9"/>
      <c r="Y145" s="9"/>
      <c r="Z145" s="9"/>
      <c r="AA145" s="5"/>
      <c r="AB145" s="10"/>
      <c r="AC145" s="10"/>
      <c r="AD145" s="10"/>
      <c r="AE145" s="11"/>
      <c r="AF145" s="13"/>
      <c r="AG145" s="13"/>
      <c r="AH145" s="5"/>
      <c r="AI145" s="5"/>
      <c r="AJ145" s="5"/>
      <c r="AK145" s="8"/>
      <c r="AL145" s="8"/>
      <c r="AM145" s="8"/>
      <c r="AN145" s="8"/>
      <c r="AO145" s="10"/>
    </row>
    <row r="146" spans="13:41" x14ac:dyDescent="0.2">
      <c r="M146" s="8"/>
      <c r="N146" s="14"/>
      <c r="O146" s="14"/>
      <c r="P146" s="9"/>
      <c r="Q146" s="9"/>
      <c r="R146" s="9"/>
      <c r="S146" s="5"/>
      <c r="T146" s="9"/>
      <c r="U146" s="9"/>
      <c r="V146" s="9"/>
      <c r="W146" s="14"/>
      <c r="X146" s="9"/>
      <c r="Y146" s="9"/>
      <c r="Z146" s="9"/>
      <c r="AA146" s="5"/>
      <c r="AB146" s="10"/>
      <c r="AC146" s="10"/>
      <c r="AD146" s="10"/>
      <c r="AE146" s="11"/>
      <c r="AF146" s="12"/>
      <c r="AG146" s="12"/>
      <c r="AH146" s="5"/>
      <c r="AI146" s="5"/>
      <c r="AJ146" s="5"/>
      <c r="AK146" s="8"/>
      <c r="AL146" s="8"/>
      <c r="AM146" s="8"/>
      <c r="AN146" s="8"/>
      <c r="AO146" s="1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6" r:id="rId4" name="Button 12">
              <controlPr defaultSize="0" print="0" autoFill="0" autoPict="0" macro="[0]!Reset_Solution">
                <anchor moveWithCells="1" sizeWithCells="1">
                  <from>
                    <xdr:col>8</xdr:col>
                    <xdr:colOff>85725</xdr:colOff>
                    <xdr:row>1</xdr:row>
                    <xdr:rowOff>0</xdr:rowOff>
                  </from>
                  <to>
                    <xdr:col>9</xdr:col>
                    <xdr:colOff>542925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5A817-6046-4B94-AFD5-51FA90B6C0C4}">
  <sheetPr codeName="Sheet1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96B49-7685-4C07-8D52-2E33607A5392}">
  <sheetPr codeName="Sheet2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77D57-69E7-4E2D-BAEE-59188B509649}">
  <sheetPr codeName="Sheet7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EC84-D30B-4D5B-81F2-83E7C34CA452}">
  <sheetPr codeName="Sheet5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9DA31-54AC-477B-8FB5-CE14D955BD1C}">
  <sheetPr codeName="Sheet8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4F7D1-580C-44E6-85C2-77EFA4F1365A}">
  <sheetPr codeName="Sheet13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CE5E4-A307-4498-8BDA-65CB19FC444E}">
  <sheetPr codeName="Sheet9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1E4C7-E330-4BBE-8271-3AF5D0995F7D}">
  <sheetPr codeName="Sheet10"/>
  <dimension ref="A1"/>
  <sheetViews>
    <sheetView workbookViewId="0">
      <selection activeCell="H3" sqref="H3:H46"/>
    </sheetView>
  </sheetViews>
  <sheetFormatPr defaultRowHeight="12.75" x14ac:dyDescent="0.2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24057-347E-4169-BE28-AF71F9B0C734}">
  <sheetPr codeName="Sheet11"/>
  <dimension ref="A31"/>
  <sheetViews>
    <sheetView workbookViewId="0">
      <selection activeCell="H3" sqref="H3:H46"/>
    </sheetView>
  </sheetViews>
  <sheetFormatPr defaultRowHeight="12.75" x14ac:dyDescent="0.2"/>
  <sheetData>
    <row r="31" ht="12" customHeight="1" x14ac:dyDescent="0.2"/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F2679-92C5-408F-8452-88B509D1BD90}">
  <sheetPr codeName="Sheet1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Grid-BC</vt:lpstr>
      <vt:lpstr>US</vt:lpstr>
      <vt:lpstr>DS</vt:lpstr>
      <vt:lpstr>Solution</vt:lpstr>
      <vt:lpstr>z</vt:lpstr>
      <vt:lpstr>u</vt:lpstr>
      <vt:lpstr>Sf</vt:lpstr>
      <vt:lpstr>n</vt:lpstr>
      <vt:lpstr>z+h</vt:lpstr>
      <vt:lpstr>Shields</vt:lpstr>
      <vt:lpstr>qt</vt:lpstr>
      <vt:lpstr>T0</vt:lpstr>
      <vt:lpstr>M</vt:lpstr>
      <vt:lpstr>Fr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Álvarez</dc:creator>
  <cp:lastModifiedBy>Manuel Álvarez</cp:lastModifiedBy>
  <dcterms:created xsi:type="dcterms:W3CDTF">2020-09-28T20:01:14Z</dcterms:created>
  <dcterms:modified xsi:type="dcterms:W3CDTF">2020-12-22T23:17:07Z</dcterms:modified>
</cp:coreProperties>
</file>